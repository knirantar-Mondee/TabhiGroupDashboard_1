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ystem Architecture" sheetId="1" state="visible" r:id="rId1"/>
    <sheet xmlns:r="http://schemas.openxmlformats.org/officeDocument/2006/relationships" name="80 Detailed Rubrics" sheetId="2" state="visible" r:id="rId2"/>
    <sheet xmlns:r="http://schemas.openxmlformats.org/officeDocument/2006/relationships" name="Body Extraction Specs" sheetId="3" state="visible" r:id="rId3"/>
    <sheet xmlns:r="http://schemas.openxmlformats.org/officeDocument/2006/relationships" name="Archetype Mapping Matrix" sheetId="4" state="visible" r:id="rId4"/>
    <sheet xmlns:r="http://schemas.openxmlformats.org/officeDocument/2006/relationships" name="Worked Examples" sheetId="5" state="visible" r:id="rId5"/>
    <sheet xmlns:r="http://schemas.openxmlformats.org/officeDocument/2006/relationships" name="Interactive Calculat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sz val="9"/>
    </font>
    <font>
      <name val="Segoe UI"/>
      <b val="1"/>
      <color rgb="002C3E50"/>
      <sz val="13"/>
    </font>
    <font>
      <name val="Segoe UI"/>
      <sz val="10"/>
    </font>
    <font>
      <name val="Segoe UI"/>
      <b val="1"/>
      <sz val="10"/>
    </font>
    <font>
      <name val="Segoe UI"/>
      <b val="1"/>
      <color rgb="00FFFFFF"/>
      <sz val="11"/>
    </font>
    <font>
      <name val="Segoe UI"/>
      <color rgb="000000FF"/>
      <sz val="10"/>
      <u val="single"/>
    </font>
  </fonts>
  <fills count="9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1F4E79"/>
        <bgColor rgb="001F4E79"/>
      </patternFill>
    </fill>
    <fill>
      <patternFill patternType="solid">
        <fgColor rgb="00F8F9F9"/>
        <bgColor rgb="00F8F9F9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  <fill>
      <patternFill patternType="solid">
        <fgColor rgb="00EAECEE"/>
        <bgColor rgb="00EAECEE"/>
      </patternFill>
    </fill>
    <fill>
      <patternFill patternType="solid">
        <fgColor rgb="002C3E50"/>
        <bgColor rgb="002C3E50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1F4E79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4" fillId="0" borderId="2" pivotButton="0" quotePrefix="0" xfId="0"/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0" borderId="0" pivotButton="0" quotePrefix="0" xfId="0"/>
    <xf numFmtId="0" fontId="5" fillId="2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  <col width="18" customWidth="1" min="4" max="4"/>
    <col width="65" customWidth="1" min="5" max="5"/>
  </cols>
  <sheetData>
    <row r="2">
      <c r="B2" s="1" t="inlineStr">
        <is>
          <t>MIRAEE · MICC News Intelligence Framework</t>
        </is>
      </c>
    </row>
    <row r="3">
      <c r="B3" s="2" t="inlineStr">
        <is>
          <t>Deterministic 80-Rubric Competitor News Curation &amp; Evaluation System</t>
        </is>
      </c>
    </row>
    <row r="5">
      <c r="B5" s="3" t="inlineStr">
        <is>
          <t>1. Introduction to the Scoring System</t>
        </is>
      </c>
    </row>
    <row r="6">
      <c r="B6" s="4" t="inlineStr">
        <is>
          <t>To objectify competitor news and highlights, this system uses 80 granular rubrics across three pillars. The overall Article Score (0-100) dictates how the news is surfaced to senior management. The score is calculated as follows:</t>
        </is>
      </c>
    </row>
    <row r="8">
      <c r="B8" s="5" t="inlineStr">
        <is>
          <t>TOTAL SCORE (100 pts) = Competitive Impact (CI: Max 30) + Strategic Intent (SI: Max 40) + Execution Momentum (EM: Max 30) + Archetype Bonus (Max 10) + Persistence Bonus (Max 10) [CAPPED AT 100, MULTIPLIED BY CONTEXT &amp; DECAY FACTORS]</t>
        </is>
      </c>
    </row>
    <row r="10">
      <c r="B10" s="3" t="inlineStr">
        <is>
          <t>2. Capping Mathematics &amp; Preventing Score Inflation</t>
        </is>
      </c>
    </row>
    <row r="11">
      <c r="B11" s="4" t="inlineStr">
        <is>
          <t>To prevent score inflation and double-counting, each pillar has a raw sum and a maximum capped score. Furthermore, Group IDs enforce SINGLE selection on mutually-exclusive rubrics (e.g. pick only one funding size or competitor tier):</t>
        </is>
      </c>
    </row>
    <row r="13">
      <c r="B13" s="6" t="inlineStr">
        <is>
          <t>Pillar / Component</t>
        </is>
      </c>
      <c r="C13" s="6" t="inlineStr">
        <is>
          <t>Sub-Categories / Description</t>
        </is>
      </c>
      <c r="D13" s="7" t="inlineStr">
        <is>
          <t>Max Raw Points</t>
        </is>
      </c>
      <c r="E13" s="7" t="inlineStr">
        <is>
          <t>Max Capped Score</t>
        </is>
      </c>
    </row>
    <row r="14">
      <c r="B14" s="8" t="inlineStr">
        <is>
          <t>Competitive Impact (CI)</t>
        </is>
      </c>
      <c r="C14" s="9" t="inlineStr">
        <is>
          <t>Competitor Profile (10), Product Domain (10), Target Audience (10), Geography (10)</t>
        </is>
      </c>
      <c r="D14" s="10" t="inlineStr">
        <is>
          <t>40 pts</t>
        </is>
      </c>
      <c r="E14" s="10" t="inlineStr">
        <is>
          <t>30 pts</t>
        </is>
      </c>
    </row>
    <row r="15">
      <c r="B15" s="8" t="inlineStr">
        <is>
          <t>Strategic Intent (SI)</t>
        </is>
      </c>
      <c r="C15" s="9" t="inlineStr">
        <is>
          <t>Event Priority (15), Disruption Scale (10), AI Depth (10), Pricing (10), Narrative (8)</t>
        </is>
      </c>
      <c r="D15" s="10" t="inlineStr">
        <is>
          <t>69 pts</t>
        </is>
      </c>
      <c r="E15" s="10" t="inlineStr">
        <is>
          <t>40 pts</t>
        </is>
      </c>
    </row>
    <row r="16">
      <c r="B16" s="8" t="inlineStr">
        <is>
          <t>Execution Momentum (EM)</t>
        </is>
      </c>
      <c r="C16" s="9" t="inlineStr">
        <is>
          <t>Evidence Class (10), Resource Backing (10), Community Traction (10), Ad Volume (10)</t>
        </is>
      </c>
      <c r="D16" s="10" t="inlineStr">
        <is>
          <t>40 pts</t>
        </is>
      </c>
      <c r="E16" s="10" t="inlineStr">
        <is>
          <t>30 pts</t>
        </is>
      </c>
    </row>
    <row r="17">
      <c r="B17" s="8" t="inlineStr">
        <is>
          <t>Archetype Alignment Bonus</t>
        </is>
      </c>
      <c r="C17" s="9" t="inlineStr">
        <is>
          <t>Automatically adds 10 points if any strategic archetype sequence is active</t>
        </is>
      </c>
      <c r="D17" s="10" t="inlineStr">
        <is>
          <t>10 pts</t>
        </is>
      </c>
      <c r="E17" s="10" t="inlineStr">
        <is>
          <t>10 pts</t>
        </is>
      </c>
    </row>
    <row r="19">
      <c r="B19" s="3" t="inlineStr">
        <is>
          <t>3. Threshold Classification Tiers</t>
        </is>
      </c>
    </row>
    <row r="21">
      <c r="B21" s="6" t="inlineStr">
        <is>
          <t>Tier Level</t>
        </is>
      </c>
      <c r="C21" s="7" t="inlineStr">
        <is>
          <t>Score Range</t>
        </is>
      </c>
      <c r="D21" s="7" t="inlineStr">
        <is>
          <t>Dashboard Action</t>
        </is>
      </c>
      <c r="E21" s="6" t="inlineStr">
        <is>
          <t>Target Delivery / Output Format</t>
        </is>
      </c>
    </row>
    <row r="22">
      <c r="B22" s="8" t="inlineStr">
        <is>
          <t>🔴 Tier 1: Critical Alerts</t>
        </is>
      </c>
      <c r="C22" s="10" t="inlineStr">
        <is>
          <t>Score &gt;= 75</t>
        </is>
      </c>
      <c r="D22" s="10" t="inlineStr">
        <is>
          <t>Immediate Dashboard Alert</t>
        </is>
      </c>
      <c r="E22" s="9" t="inlineStr">
        <is>
          <t>Pushed as flash notification in MICC Overview. Triggers immediate competitive briefing draft.</t>
        </is>
      </c>
    </row>
    <row r="23">
      <c r="B23" s="8" t="inlineStr">
        <is>
          <t>🟡 Tier 2: High-Importance</t>
        </is>
      </c>
      <c r="C23" s="10" t="inlineStr">
        <is>
          <t>Score 55 - 74</t>
        </is>
      </c>
      <c r="D23" s="10" t="inlineStr">
        <is>
          <t>Weekly Briefing Highlight</t>
        </is>
      </c>
      <c r="E23" s="9" t="inlineStr">
        <is>
          <t>Aggregated in weekly executive intelligence digest. Mapped to competitor timeline curves.</t>
        </is>
      </c>
    </row>
    <row r="24">
      <c r="B24" s="8" t="inlineStr">
        <is>
          <t>🟢 Tier 3: Standard Signals</t>
        </is>
      </c>
      <c r="C24" s="10" t="inlineStr">
        <is>
          <t>Score 35 - 54</t>
        </is>
      </c>
      <c r="D24" s="10" t="inlineStr">
        <is>
          <t>Monthly Strategic Rollup</t>
        </is>
      </c>
      <c r="E24" s="9" t="inlineStr">
        <is>
          <t>Included in monthly competitive momentum review. Populates background trend widgets.</t>
        </is>
      </c>
    </row>
    <row r="25">
      <c r="B25" s="8" t="inlineStr">
        <is>
          <t>⚪ Tier 4: Low-Priority Noise</t>
        </is>
      </c>
      <c r="C25" s="10" t="inlineStr">
        <is>
          <t>Score &lt; 35</t>
        </is>
      </c>
      <c r="D25" s="10" t="inlineStr">
        <is>
          <t>Exclude from highlights</t>
        </is>
      </c>
      <c r="E25" s="9" t="inlineStr">
        <is>
          <t>Retained in raw search logs. Used only as historical background events.</t>
        </is>
      </c>
    </row>
    <row r="27">
      <c r="B27" s="3" t="inlineStr">
        <is>
          <t>4. Precedence &amp; Mutually-Exclusive Selection Rules</t>
        </is>
      </c>
    </row>
    <row r="29">
      <c r="B29" s="6" t="inlineStr">
        <is>
          <t>Rule Type</t>
        </is>
      </c>
      <c r="C29" s="6" t="inlineStr">
        <is>
          <t>Target Group</t>
        </is>
      </c>
      <c r="D29" s="6" t="inlineStr">
        <is>
          <t>Enforcement Rule Description</t>
        </is>
      </c>
    </row>
    <row r="30">
      <c r="B30" s="11" t="inlineStr">
        <is>
          <t>SINGLE Group Rule</t>
        </is>
      </c>
      <c r="C30" s="12" t="inlineStr">
        <is>
          <t>G_COMP_TIER (R-01 to R-04)</t>
        </is>
      </c>
      <c r="D30" s="12" t="inlineStr">
        <is>
          <t>Only one competitor tier can be active. If multiple brands trigger, only select the highest tier.</t>
        </is>
      </c>
    </row>
    <row r="31">
      <c r="B31" s="11" t="inlineStr">
        <is>
          <t>SINGLE Group Rule</t>
        </is>
      </c>
      <c r="C31" s="12" t="inlineStr">
        <is>
          <t>G_PRODUCT_OVERLAP (R-05 to R-08)</t>
        </is>
      </c>
      <c r="D31" s="12" t="inlineStr">
        <is>
          <t>Select the single highest overlapping feature (e.g. Agentic Workflows overrides Traditional Booking).</t>
        </is>
      </c>
    </row>
    <row r="32">
      <c r="B32" s="11" t="inlineStr">
        <is>
          <t>SINGLE Group Rule</t>
        </is>
      </c>
      <c r="C32" s="12" t="inlineStr">
        <is>
          <t>G_EVENT_PRIORITY (R-16 to R-30, R-76, R-77, R-80)</t>
        </is>
      </c>
      <c r="D32" s="12" t="inlineStr">
        <is>
          <t>Limits article classification to one primary event priority (e.g. Major Launch overrides C-level Hire).</t>
        </is>
      </c>
    </row>
    <row r="33">
      <c r="B33" s="11" t="inlineStr">
        <is>
          <t>SINGLE Group Rule</t>
        </is>
      </c>
      <c r="C33" s="12" t="inlineStr">
        <is>
          <t>G_FUND_STRENGTH (R-50 to R-53)</t>
        </is>
      </c>
      <c r="D33" s="12" t="inlineStr">
        <is>
          <t>Limits funding points to a single matched value bracket (e.g. Mega M&amp;A overrides Seed Funding).</t>
        </is>
      </c>
    </row>
    <row r="34">
      <c r="B34" s="11" t="inlineStr">
        <is>
          <t>Keyword Match Rule</t>
        </is>
      </c>
      <c r="C34" s="12" t="inlineStr">
        <is>
          <t>Required Anchors + Supporting Keywords</t>
        </is>
      </c>
      <c r="D34" s="12" t="inlineStr">
        <is>
          <t>A rubric requires at least one match on 'Required Anchors' before evaluating 'Supporting Keywords'.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1" customWidth="1" min="3" max="3"/>
    <col width="25" customWidth="1" min="4" max="4"/>
    <col width="12" customWidth="1" min="5" max="5"/>
    <col width="34" customWidth="1" min="6" max="6"/>
    <col width="10" customWidth="1" min="7" max="7"/>
    <col width="13" customWidth="1" min="8" max="8"/>
    <col width="17" customWidth="1" min="9" max="9"/>
    <col width="21" customWidth="1" min="10" max="10"/>
    <col width="21" customWidth="1" min="11" max="11"/>
    <col width="45" customWidth="1" min="12" max="12"/>
    <col width="45" customWidth="1" min="13" max="13"/>
    <col width="45" customWidth="1" min="14" max="14"/>
    <col width="45" customWidth="1" min="15" max="15"/>
  </cols>
  <sheetData>
    <row r="1">
      <c r="A1" s="6" t="inlineStr">
        <is>
          <t>Pillar</t>
        </is>
      </c>
      <c r="B1" s="6" t="inlineStr">
        <is>
          <t>Pillar Code</t>
        </is>
      </c>
      <c r="C1" s="6" t="inlineStr">
        <is>
          <t>Category</t>
        </is>
      </c>
      <c r="D1" s="6" t="inlineStr">
        <is>
          <t>Sub-Category</t>
        </is>
      </c>
      <c r="E1" s="6" t="inlineStr">
        <is>
          <t>Rubric ID</t>
        </is>
      </c>
      <c r="F1" s="6" t="inlineStr">
        <is>
          <t>Rubric Name</t>
        </is>
      </c>
      <c r="G1" s="6" t="inlineStr">
        <is>
          <t>Tier</t>
        </is>
      </c>
      <c r="H1" s="7" t="inlineStr">
        <is>
          <t>Max Points</t>
        </is>
      </c>
      <c r="I1" s="6" t="inlineStr">
        <is>
          <t>Selection Rule</t>
        </is>
      </c>
      <c r="J1" s="6" t="inlineStr">
        <is>
          <t>Group ID</t>
        </is>
      </c>
      <c r="K1" s="6" t="inlineStr">
        <is>
          <t>Mutually Exclusive</t>
        </is>
      </c>
      <c r="L1" s="6" t="inlineStr">
        <is>
          <t>Required Anchors</t>
        </is>
      </c>
      <c r="M1" s="6" t="inlineStr">
        <is>
          <t>Supporting Keywords</t>
        </is>
      </c>
      <c r="N1" s="6" t="inlineStr">
        <is>
          <t>Definition</t>
        </is>
      </c>
      <c r="O1" s="6" t="inlineStr">
        <is>
          <t>Scoring Logic</t>
        </is>
      </c>
    </row>
    <row r="2">
      <c r="A2" s="13" t="inlineStr">
        <is>
          <t>Competitive Impact (CI)</t>
        </is>
      </c>
      <c r="B2" s="13" t="inlineStr">
        <is>
          <t>CI</t>
        </is>
      </c>
      <c r="C2" s="14" t="inlineStr">
        <is>
          <t>Competitor Profile</t>
        </is>
      </c>
      <c r="D2" s="14" t="inlineStr">
        <is>
          <t>Competitor Tier</t>
        </is>
      </c>
      <c r="E2" s="13" t="inlineStr">
        <is>
          <t>R-01</t>
        </is>
      </c>
      <c r="F2" s="14" t="inlineStr">
        <is>
          <t>Core Competitor</t>
        </is>
      </c>
      <c r="G2" s="14" t="inlineStr">
        <is>
          <t>Tier 1</t>
        </is>
      </c>
      <c r="H2" s="15" t="n">
        <v>10</v>
      </c>
      <c r="I2" s="14" t="inlineStr">
        <is>
          <t>SINGLE</t>
        </is>
      </c>
      <c r="J2" s="14" t="inlineStr">
        <is>
          <t>G_COMP_TIER</t>
        </is>
      </c>
      <c r="K2" s="14" t="inlineStr">
        <is>
          <t>Yes</t>
        </is>
      </c>
      <c r="L2" s="14" t="inlineStr">
        <is>
          <t>Navan, TravelPerk, Concur, SAP Concur, Amex GBT, American Express Global Business Travel</t>
        </is>
      </c>
      <c r="M2" s="14" t="inlineStr"/>
      <c r="N2" s="14" t="inlineStr">
        <is>
          <t>Core travel-tech booking competitor.</t>
        </is>
      </c>
      <c r="O2" s="14" t="inlineStr">
        <is>
          <t>Assign 10 points if the primary competitor is in Tier 1.</t>
        </is>
      </c>
    </row>
    <row r="3">
      <c r="A3" s="11" t="inlineStr">
        <is>
          <t>Competitive Impact (CI)</t>
        </is>
      </c>
      <c r="B3" s="11" t="inlineStr">
        <is>
          <t>CI</t>
        </is>
      </c>
      <c r="C3" s="12" t="inlineStr">
        <is>
          <t>Competitor Profile</t>
        </is>
      </c>
      <c r="D3" s="12" t="inlineStr">
        <is>
          <t>Competitor Tier</t>
        </is>
      </c>
      <c r="E3" s="11" t="inlineStr">
        <is>
          <t>R-02</t>
        </is>
      </c>
      <c r="F3" s="12" t="inlineStr">
        <is>
          <t>Spend/FinOps Competitor</t>
        </is>
      </c>
      <c r="G3" s="12" t="inlineStr">
        <is>
          <t>Tier 2</t>
        </is>
      </c>
      <c r="H3" s="16" t="n">
        <v>7</v>
      </c>
      <c r="I3" s="12" t="inlineStr">
        <is>
          <t>SINGLE</t>
        </is>
      </c>
      <c r="J3" s="12" t="inlineStr">
        <is>
          <t>G_COMP_TIER</t>
        </is>
      </c>
      <c r="K3" s="12" t="inlineStr">
        <is>
          <t>Yes</t>
        </is>
      </c>
      <c r="L3" s="12" t="inlineStr">
        <is>
          <t>Brex, Ramp, Spotnana</t>
        </is>
      </c>
      <c r="M3" s="12" t="inlineStr"/>
      <c r="N3" s="12" t="inlineStr">
        <is>
          <t>Expense/card competitor targeting travel integration.</t>
        </is>
      </c>
      <c r="O3" s="12" t="inlineStr">
        <is>
          <t>Assign 7 points if primary competitor is in Tier 2.</t>
        </is>
      </c>
    </row>
    <row r="4">
      <c r="A4" s="13" t="inlineStr">
        <is>
          <t>Competitive Impact (CI)</t>
        </is>
      </c>
      <c r="B4" s="13" t="inlineStr">
        <is>
          <t>CI</t>
        </is>
      </c>
      <c r="C4" s="14" t="inlineStr">
        <is>
          <t>Competitor Profile</t>
        </is>
      </c>
      <c r="D4" s="14" t="inlineStr">
        <is>
          <t>Competitor Tier</t>
        </is>
      </c>
      <c r="E4" s="13" t="inlineStr">
        <is>
          <t>R-03</t>
        </is>
      </c>
      <c r="F4" s="14" t="inlineStr">
        <is>
          <t>Tech/AI Leader</t>
        </is>
      </c>
      <c r="G4" s="14" t="inlineStr">
        <is>
          <t>Tier 3</t>
        </is>
      </c>
      <c r="H4" s="15" t="n">
        <v>3</v>
      </c>
      <c r="I4" s="14" t="inlineStr">
        <is>
          <t>SINGLE</t>
        </is>
      </c>
      <c r="J4" s="14" t="inlineStr">
        <is>
          <t>G_COMP_TIER</t>
        </is>
      </c>
      <c r="K4" s="14" t="inlineStr">
        <is>
          <t>Yes</t>
        </is>
      </c>
      <c r="L4" s="14" t="inlineStr">
        <is>
          <t>OpenAI, Anthropic, Google, DeepMind, Microsoft Azure, AWS Bedrock</t>
        </is>
      </c>
      <c r="M4" s="14" t="inlineStr"/>
      <c r="N4" s="14" t="inlineStr">
        <is>
          <t>Generative AI foundation providers.</t>
        </is>
      </c>
      <c r="O4" s="14" t="inlineStr">
        <is>
          <t>Assign 3 points if primary competitor is a tech vendor.</t>
        </is>
      </c>
    </row>
    <row r="5">
      <c r="A5" s="11" t="inlineStr">
        <is>
          <t>Competitive Impact (CI)</t>
        </is>
      </c>
      <c r="B5" s="11" t="inlineStr">
        <is>
          <t>CI</t>
        </is>
      </c>
      <c r="C5" s="12" t="inlineStr">
        <is>
          <t>Competitor Profile</t>
        </is>
      </c>
      <c r="D5" s="12" t="inlineStr">
        <is>
          <t>Competitor Tier</t>
        </is>
      </c>
      <c r="E5" s="11" t="inlineStr">
        <is>
          <t>R-04</t>
        </is>
      </c>
      <c r="F5" s="12" t="inlineStr">
        <is>
          <t>New Entrant</t>
        </is>
      </c>
      <c r="G5" s="12" t="inlineStr">
        <is>
          <t>Tier 4</t>
        </is>
      </c>
      <c r="H5" s="16" t="n">
        <v>5</v>
      </c>
      <c r="I5" s="12" t="inlineStr">
        <is>
          <t>SINGLE</t>
        </is>
      </c>
      <c r="J5" s="12" t="inlineStr">
        <is>
          <t>G_COMP_TIER</t>
        </is>
      </c>
      <c r="K5" s="12" t="inlineStr">
        <is>
          <t>Yes</t>
        </is>
      </c>
      <c r="L5" s="12" t="inlineStr">
        <is>
          <t>VoyageX, TripOS, FlowTrip, travel tech startup</t>
        </is>
      </c>
      <c r="M5" s="12" t="inlineStr">
        <is>
          <t>startup, entrant</t>
        </is>
      </c>
      <c r="N5" s="12" t="inlineStr">
        <is>
          <t>Early stage B2B travel startups.</t>
        </is>
      </c>
      <c r="O5" s="12" t="inlineStr">
        <is>
          <t>Assign 5 points if primary competitor is a startup entrant.</t>
        </is>
      </c>
    </row>
    <row r="6">
      <c r="A6" s="13" t="inlineStr">
        <is>
          <t>Competitive Impact (CI)</t>
        </is>
      </c>
      <c r="B6" s="13" t="inlineStr">
        <is>
          <t>CI</t>
        </is>
      </c>
      <c r="C6" s="14" t="inlineStr">
        <is>
          <t>Competitor Profile</t>
        </is>
      </c>
      <c r="D6" s="14" t="inlineStr">
        <is>
          <t>Product Domain Fit</t>
        </is>
      </c>
      <c r="E6" s="13" t="inlineStr">
        <is>
          <t>R-05</t>
        </is>
      </c>
      <c r="F6" s="14" t="inlineStr">
        <is>
          <t>Agentic Travel Workflows</t>
        </is>
      </c>
      <c r="G6" s="14" t="inlineStr">
        <is>
          <t>N/A</t>
        </is>
      </c>
      <c r="H6" s="15" t="n">
        <v>10</v>
      </c>
      <c r="I6" s="14" t="inlineStr">
        <is>
          <t>SINGLE</t>
        </is>
      </c>
      <c r="J6" s="14" t="inlineStr">
        <is>
          <t>G_PRODUCT_OVERLAP</t>
        </is>
      </c>
      <c r="K6" s="14" t="inlineStr">
        <is>
          <t>Yes</t>
        </is>
      </c>
      <c r="L6" s="14" t="inlineStr">
        <is>
          <t>auto-booking, autonomous approval, zero-touch delegation, self-executing agent, AI travel agent, outcome-based booking</t>
        </is>
      </c>
      <c r="M6" s="14" t="inlineStr">
        <is>
          <t>agent, workflow, automation, assistant</t>
        </is>
      </c>
      <c r="N6" s="14" t="inlineStr">
        <is>
          <t>Automated search-to-book loops with zero human input.</t>
        </is>
      </c>
      <c r="O6" s="14" t="inlineStr">
        <is>
          <t>Assign 10 points if features automate delegation.</t>
        </is>
      </c>
    </row>
    <row r="7">
      <c r="A7" s="11" t="inlineStr">
        <is>
          <t>Competitive Impact (CI)</t>
        </is>
      </c>
      <c r="B7" s="11" t="inlineStr">
        <is>
          <t>CI</t>
        </is>
      </c>
      <c r="C7" s="12" t="inlineStr">
        <is>
          <t>Competitor Profile</t>
        </is>
      </c>
      <c r="D7" s="12" t="inlineStr">
        <is>
          <t>Product Domain Fit</t>
        </is>
      </c>
      <c r="E7" s="11" t="inlineStr">
        <is>
          <t>R-06</t>
        </is>
      </c>
      <c r="F7" s="12" t="inlineStr">
        <is>
          <t>Traditional Travel Booking</t>
        </is>
      </c>
      <c r="G7" s="12" t="inlineStr">
        <is>
          <t>N/A</t>
        </is>
      </c>
      <c r="H7" s="16" t="n">
        <v>6</v>
      </c>
      <c r="I7" s="12" t="inlineStr">
        <is>
          <t>SINGLE</t>
        </is>
      </c>
      <c r="J7" s="12" t="inlineStr">
        <is>
          <t>G_PRODUCT_OVERLAP</t>
        </is>
      </c>
      <c r="K7" s="12" t="inlineStr">
        <is>
          <t>Yes</t>
        </is>
      </c>
      <c r="L7" s="12" t="inlineStr">
        <is>
          <t>flight search, hotel booking, travel portal, self-service booking, GDS integration</t>
        </is>
      </c>
      <c r="M7" s="12" t="inlineStr">
        <is>
          <t>booking, flight, hotel, inventory</t>
        </is>
      </c>
      <c r="N7" s="12" t="inlineStr">
        <is>
          <t>Standard employee booking tools.</t>
        </is>
      </c>
      <c r="O7" s="12" t="inlineStr">
        <is>
          <t>Assign 6 points if feature relates to booking portals or inventories.</t>
        </is>
      </c>
    </row>
    <row r="8">
      <c r="A8" s="13" t="inlineStr">
        <is>
          <t>Competitive Impact (CI)</t>
        </is>
      </c>
      <c r="B8" s="13" t="inlineStr">
        <is>
          <t>CI</t>
        </is>
      </c>
      <c r="C8" s="14" t="inlineStr">
        <is>
          <t>Competitor Profile</t>
        </is>
      </c>
      <c r="D8" s="14" t="inlineStr">
        <is>
          <t>Product Domain Fit</t>
        </is>
      </c>
      <c r="E8" s="13" t="inlineStr">
        <is>
          <t>R-07</t>
        </is>
      </c>
      <c r="F8" s="14" t="inlineStr">
        <is>
          <t>Expense &amp; Spend Controls</t>
        </is>
      </c>
      <c r="G8" s="14" t="inlineStr">
        <is>
          <t>N/A</t>
        </is>
      </c>
      <c r="H8" s="15" t="n">
        <v>5</v>
      </c>
      <c r="I8" s="14" t="inlineStr">
        <is>
          <t>SINGLE</t>
        </is>
      </c>
      <c r="J8" s="14" t="inlineStr">
        <is>
          <t>G_PRODUCT_OVERLAP</t>
        </is>
      </c>
      <c r="K8" s="14" t="inlineStr">
        <is>
          <t>Yes</t>
        </is>
      </c>
      <c r="L8" s="14" t="inlineStr">
        <is>
          <t>spend controls, receipt scan, expense report, corporate card, budget flagging</t>
        </is>
      </c>
      <c r="M8" s="14" t="inlineStr">
        <is>
          <t>expense, card, receipt, spend</t>
        </is>
      </c>
      <c r="N8" s="14" t="inlineStr">
        <is>
          <t>Standard corporate expense workflows.</t>
        </is>
      </c>
      <c r="O8" s="14" t="inlineStr">
        <is>
          <t>Assign 5 points if feature handles receipt scans or card spending.</t>
        </is>
      </c>
    </row>
    <row r="9">
      <c r="A9" s="11" t="inlineStr">
        <is>
          <t>Competitive Impact (CI)</t>
        </is>
      </c>
      <c r="B9" s="11" t="inlineStr">
        <is>
          <t>CI</t>
        </is>
      </c>
      <c r="C9" s="12" t="inlineStr">
        <is>
          <t>Competitor Profile</t>
        </is>
      </c>
      <c r="D9" s="12" t="inlineStr">
        <is>
          <t>Product Domain Fit</t>
        </is>
      </c>
      <c r="E9" s="11" t="inlineStr">
        <is>
          <t>R-08</t>
        </is>
      </c>
      <c r="F9" s="12" t="inlineStr">
        <is>
          <t>Accounting &amp; ERP Integration</t>
        </is>
      </c>
      <c r="G9" s="12" t="inlineStr">
        <is>
          <t>N/A</t>
        </is>
      </c>
      <c r="H9" s="16" t="n">
        <v>3</v>
      </c>
      <c r="I9" s="12" t="inlineStr">
        <is>
          <t>SINGLE</t>
        </is>
      </c>
      <c r="J9" s="12" t="inlineStr">
        <is>
          <t>G_PRODUCT_OVERLAP</t>
        </is>
      </c>
      <c r="K9" s="12" t="inlineStr">
        <is>
          <t>Yes</t>
        </is>
      </c>
      <c r="L9" s="12" t="inlineStr">
        <is>
          <t>QuickBooks sync, NetSuite integration, SAP ledger, accounting sync, ERP connector</t>
        </is>
      </c>
      <c r="M9" s="12" t="inlineStr">
        <is>
          <t>integration, sync, ledger, ERP</t>
        </is>
      </c>
      <c r="N9" s="12" t="inlineStr">
        <is>
          <t>Data integration with financial back-office platforms.</t>
        </is>
      </c>
      <c r="O9" s="12" t="inlineStr">
        <is>
          <t>Assign 3 points if feature connects to third-party ERPs.</t>
        </is>
      </c>
    </row>
    <row r="10">
      <c r="A10" s="13" t="inlineStr">
        <is>
          <t>Competitive Impact (CI)</t>
        </is>
      </c>
      <c r="B10" s="13" t="inlineStr">
        <is>
          <t>CI</t>
        </is>
      </c>
      <c r="C10" s="14" t="inlineStr">
        <is>
          <t>Competitor Profile</t>
        </is>
      </c>
      <c r="D10" s="14" t="inlineStr">
        <is>
          <t>Target Audience Match</t>
        </is>
      </c>
      <c r="E10" s="13" t="inlineStr">
        <is>
          <t>R-09</t>
        </is>
      </c>
      <c r="F10" s="14" t="inlineStr">
        <is>
          <t>US Enterprise Buyers</t>
        </is>
      </c>
      <c r="G10" s="14" t="inlineStr">
        <is>
          <t>N/A</t>
        </is>
      </c>
      <c r="H10" s="15" t="n">
        <v>10</v>
      </c>
      <c r="I10" s="14" t="inlineStr">
        <is>
          <t>SINGLE</t>
        </is>
      </c>
      <c r="J10" s="14" t="inlineStr">
        <is>
          <t>G_US_TARGET</t>
        </is>
      </c>
      <c r="K10" s="14" t="inlineStr">
        <is>
          <t>Yes</t>
        </is>
      </c>
      <c r="L10" s="14" t="inlineStr">
        <is>
          <t>US enterprise, CFO budget, procurement director, travel manager, US market launch</t>
        </is>
      </c>
      <c r="M10" s="14" t="inlineStr">
        <is>
          <t>enterprise, CFO, procurement, manager</t>
        </is>
      </c>
      <c r="N10" s="14" t="inlineStr">
        <is>
          <t>Direct overlap with Miraee's target buyer.</t>
        </is>
      </c>
      <c r="O10" s="14" t="inlineStr">
        <is>
          <t>Assign 10 points if targeting US enterprise finance/travel executives.</t>
        </is>
      </c>
    </row>
    <row r="11">
      <c r="A11" s="11" t="inlineStr">
        <is>
          <t>Competitive Impact (CI)</t>
        </is>
      </c>
      <c r="B11" s="11" t="inlineStr">
        <is>
          <t>CI</t>
        </is>
      </c>
      <c r="C11" s="12" t="inlineStr">
        <is>
          <t>Competitor Profile</t>
        </is>
      </c>
      <c r="D11" s="12" t="inlineStr">
        <is>
          <t>Target Audience Match</t>
        </is>
      </c>
      <c r="E11" s="11" t="inlineStr">
        <is>
          <t>R-10</t>
        </is>
      </c>
      <c r="F11" s="12" t="inlineStr">
        <is>
          <t>SMBs &amp; Startups</t>
        </is>
      </c>
      <c r="G11" s="12" t="inlineStr">
        <is>
          <t>N/A</t>
        </is>
      </c>
      <c r="H11" s="16" t="n">
        <v>7</v>
      </c>
      <c r="I11" s="12" t="inlineStr">
        <is>
          <t>SINGLE</t>
        </is>
      </c>
      <c r="J11" s="12" t="inlineStr">
        <is>
          <t>G_US_TARGET</t>
        </is>
      </c>
      <c r="K11" s="12" t="inlineStr">
        <is>
          <t>Yes</t>
        </is>
      </c>
      <c r="L11" s="12" t="inlineStr">
        <is>
          <t>SMB travel, startup seat pricing, small business, founders, early-stage teams</t>
        </is>
      </c>
      <c r="M11" s="12" t="inlineStr">
        <is>
          <t>SMB, startup, founder, teams</t>
        </is>
      </c>
      <c r="N11" s="12" t="inlineStr">
        <is>
          <t>Targeting early stage or mid-market operations.</t>
        </is>
      </c>
      <c r="O11" s="12" t="inlineStr">
        <is>
          <t>Assign 7 points if targeting startup founders/teams.</t>
        </is>
      </c>
    </row>
    <row r="12">
      <c r="A12" s="13" t="inlineStr">
        <is>
          <t>Competitive Impact (CI)</t>
        </is>
      </c>
      <c r="B12" s="13" t="inlineStr">
        <is>
          <t>CI</t>
        </is>
      </c>
      <c r="C12" s="14" t="inlineStr">
        <is>
          <t>Competitor Profile</t>
        </is>
      </c>
      <c r="D12" s="14" t="inlineStr">
        <is>
          <t>Target Audience Match</t>
        </is>
      </c>
      <c r="E12" s="13" t="inlineStr">
        <is>
          <t>R-11</t>
        </is>
      </c>
      <c r="F12" s="14" t="inlineStr">
        <is>
          <t>Remote &amp; Distributed Teams</t>
        </is>
      </c>
      <c r="G12" s="14" t="inlineStr">
        <is>
          <t>N/A</t>
        </is>
      </c>
      <c r="H12" s="15" t="n">
        <v>6</v>
      </c>
      <c r="I12" s="14" t="inlineStr">
        <is>
          <t>SINGLE</t>
        </is>
      </c>
      <c r="J12" s="14" t="inlineStr">
        <is>
          <t>G_US_TARGET</t>
        </is>
      </c>
      <c r="K12" s="14" t="inlineStr">
        <is>
          <t>Yes</t>
        </is>
      </c>
      <c r="L12" s="14" t="inlineStr">
        <is>
          <t>remote-first, distributed teams, team retreat, Slack-native, Notion integration</t>
        </is>
      </c>
      <c r="M12" s="14" t="inlineStr">
        <is>
          <t>remote, distributed, retreat, teams</t>
        </is>
      </c>
      <c r="N12" s="14" t="inlineStr">
        <is>
          <t>Features for distributed employee alignment.</t>
        </is>
      </c>
      <c r="O12" s="14" t="inlineStr">
        <is>
          <t>Assign 6 points if targeting remote company hubs.</t>
        </is>
      </c>
    </row>
    <row r="13">
      <c r="A13" s="11" t="inlineStr">
        <is>
          <t>Competitive Impact (CI)</t>
        </is>
      </c>
      <c r="B13" s="11" t="inlineStr">
        <is>
          <t>CI</t>
        </is>
      </c>
      <c r="C13" s="12" t="inlineStr">
        <is>
          <t>Competitor Profile</t>
        </is>
      </c>
      <c r="D13" s="12" t="inlineStr">
        <is>
          <t>Target Audience Match</t>
        </is>
      </c>
      <c r="E13" s="11" t="inlineStr">
        <is>
          <t>R-12</t>
        </is>
      </c>
      <c r="F13" s="12" t="inlineStr">
        <is>
          <t>Individual Consumer Travel</t>
        </is>
      </c>
      <c r="G13" s="12" t="inlineStr">
        <is>
          <t>N/A</t>
        </is>
      </c>
      <c r="H13" s="16" t="n">
        <v>2</v>
      </c>
      <c r="I13" s="12" t="inlineStr">
        <is>
          <t>SINGLE</t>
        </is>
      </c>
      <c r="J13" s="12" t="inlineStr">
        <is>
          <t>G_US_TARGET</t>
        </is>
      </c>
      <c r="K13" s="12" t="inlineStr">
        <is>
          <t>Yes</t>
        </is>
      </c>
      <c r="L13" s="12" t="inlineStr">
        <is>
          <t>leisure travel, vacation, consumer app, individual booking, package holidays</t>
        </is>
      </c>
      <c r="M13" s="12" t="inlineStr">
        <is>
          <t>consumer, leisure, vacation, booking</t>
        </is>
      </c>
      <c r="N13" s="12" t="inlineStr">
        <is>
          <t>Non-business travelers.</t>
        </is>
      </c>
      <c r="O13" s="12" t="inlineStr">
        <is>
          <t>Assign 2 points if targeting leisure travelers.</t>
        </is>
      </c>
    </row>
    <row r="14">
      <c r="A14" s="13" t="inlineStr">
        <is>
          <t>Competitive Impact (CI)</t>
        </is>
      </c>
      <c r="B14" s="13" t="inlineStr">
        <is>
          <t>CI</t>
        </is>
      </c>
      <c r="C14" s="14" t="inlineStr">
        <is>
          <t>Competitor Profile</t>
        </is>
      </c>
      <c r="D14" s="14" t="inlineStr">
        <is>
          <t>Geographic Focus</t>
        </is>
      </c>
      <c r="E14" s="13" t="inlineStr">
        <is>
          <t>R-13</t>
        </is>
      </c>
      <c r="F14" s="14" t="inlineStr">
        <is>
          <t>US Launch / US Core</t>
        </is>
      </c>
      <c r="G14" s="14" t="inlineStr">
        <is>
          <t>N/A</t>
        </is>
      </c>
      <c r="H14" s="15" t="n">
        <v>10</v>
      </c>
      <c r="I14" s="14" t="inlineStr">
        <is>
          <t>SINGLE</t>
        </is>
      </c>
      <c r="J14" s="14" t="inlineStr">
        <is>
          <t>G_GEO_FOCUS</t>
        </is>
      </c>
      <c r="K14" s="14" t="inlineStr">
        <is>
          <t>Yes</t>
        </is>
      </c>
      <c r="L14" s="14" t="inlineStr">
        <is>
          <t>US launch, New York office, US market, Nasdaq, SEC filing</t>
        </is>
      </c>
      <c r="M14" s="14" t="inlineStr">
        <is>
          <t>US, market, launch</t>
        </is>
      </c>
      <c r="N14" s="14" t="inlineStr">
        <is>
          <t>Direct threat in core geographic market.</t>
        </is>
      </c>
      <c r="O14" s="14" t="inlineStr">
        <is>
          <t>Assign 10 points if the primary launch target is the US.</t>
        </is>
      </c>
    </row>
    <row r="15">
      <c r="A15" s="11" t="inlineStr">
        <is>
          <t>Competitive Impact (CI)</t>
        </is>
      </c>
      <c r="B15" s="11" t="inlineStr">
        <is>
          <t>CI</t>
        </is>
      </c>
      <c r="C15" s="12" t="inlineStr">
        <is>
          <t>Competitor Profile</t>
        </is>
      </c>
      <c r="D15" s="12" t="inlineStr">
        <is>
          <t>Geographic Focus</t>
        </is>
      </c>
      <c r="E15" s="11" t="inlineStr">
        <is>
          <t>R-14</t>
        </is>
      </c>
      <c r="F15" s="12" t="inlineStr">
        <is>
          <t>European / APAC Scaling</t>
        </is>
      </c>
      <c r="G15" s="12" t="inlineStr">
        <is>
          <t>N/A</t>
        </is>
      </c>
      <c r="H15" s="16" t="n">
        <v>5</v>
      </c>
      <c r="I15" s="12" t="inlineStr">
        <is>
          <t>SINGLE</t>
        </is>
      </c>
      <c r="J15" s="12" t="inlineStr">
        <is>
          <t>G_GEO_FOCUS</t>
        </is>
      </c>
      <c r="K15" s="12" t="inlineStr">
        <is>
          <t>Yes</t>
        </is>
      </c>
      <c r="L15" s="12" t="inlineStr">
        <is>
          <t>Germany office, France expansion, London headquarters, APAC market, EU compliance, Latin America, Brazil</t>
        </is>
      </c>
      <c r="M15" s="12" t="inlineStr">
        <is>
          <t>Europe, APAC, scaling, expansion, LatAm, Brazil</t>
        </is>
      </c>
      <c r="N15" s="12" t="inlineStr">
        <is>
          <t>Scaling outside core US market.</t>
        </is>
      </c>
      <c r="O15" s="12" t="inlineStr">
        <is>
          <t>Assign 5 points if the geographic target is Europe or Asia or Latin America.</t>
        </is>
      </c>
    </row>
    <row r="16">
      <c r="A16" s="13" t="inlineStr">
        <is>
          <t>Competitive Impact (CI)</t>
        </is>
      </c>
      <c r="B16" s="13" t="inlineStr">
        <is>
          <t>CI</t>
        </is>
      </c>
      <c r="C16" s="14" t="inlineStr">
        <is>
          <t>Competitor Profile</t>
        </is>
      </c>
      <c r="D16" s="14" t="inlineStr">
        <is>
          <t>Geographic Focus</t>
        </is>
      </c>
      <c r="E16" s="13" t="inlineStr">
        <is>
          <t>R-15</t>
        </is>
      </c>
      <c r="F16" s="14" t="inlineStr">
        <is>
          <t>Local Domestic Regional</t>
        </is>
      </c>
      <c r="G16" s="14" t="inlineStr">
        <is>
          <t>N/A</t>
        </is>
      </c>
      <c r="H16" s="15" t="n">
        <v>2</v>
      </c>
      <c r="I16" s="14" t="inlineStr">
        <is>
          <t>SINGLE</t>
        </is>
      </c>
      <c r="J16" s="14" t="inlineStr">
        <is>
          <t>G_GEO_FOCUS</t>
        </is>
      </c>
      <c r="K16" s="14" t="inlineStr">
        <is>
          <t>Yes</t>
        </is>
      </c>
      <c r="L16" s="14" t="inlineStr">
        <is>
          <t>local regional, domestic transport, local rail, country-specific rail</t>
        </is>
      </c>
      <c r="M16" s="14" t="inlineStr">
        <is>
          <t>local, domestic, regional</t>
        </is>
      </c>
      <c r="N16" s="14" t="inlineStr">
        <is>
          <t>Focused on domestic local markets.</t>
        </is>
      </c>
      <c r="O16" s="14" t="inlineStr">
        <is>
          <t>Assign 2 points if targeting localized regional transport.</t>
        </is>
      </c>
    </row>
    <row r="17">
      <c r="A17" s="11" t="inlineStr">
        <is>
          <t>Strategic Intent (SI)</t>
        </is>
      </c>
      <c r="B17" s="11" t="inlineStr">
        <is>
          <t>SI</t>
        </is>
      </c>
      <c r="C17" s="12" t="inlineStr">
        <is>
          <t>Event Priority</t>
        </is>
      </c>
      <c r="D17" s="12" t="inlineStr">
        <is>
          <t>Product &amp; Tech Events</t>
        </is>
      </c>
      <c r="E17" s="11" t="inlineStr">
        <is>
          <t>R-16</t>
        </is>
      </c>
      <c r="F17" s="12" t="inlineStr">
        <is>
          <t>Major Product Launch</t>
        </is>
      </c>
      <c r="G17" s="12" t="inlineStr">
        <is>
          <t>N/A</t>
        </is>
      </c>
      <c r="H17" s="16" t="n">
        <v>15</v>
      </c>
      <c r="I17" s="12" t="inlineStr">
        <is>
          <t>SINGLE</t>
        </is>
      </c>
      <c r="J17" s="12" t="inlineStr">
        <is>
          <t>G_EVENT_PRIORITY</t>
        </is>
      </c>
      <c r="K17" s="12" t="inlineStr">
        <is>
          <t>Yes</t>
        </is>
      </c>
      <c r="L17" s="12" t="inlineStr">
        <is>
          <t>GA release, platform launch, product debut, next-generation platform, goes live, official product debut</t>
        </is>
      </c>
      <c r="M17" s="12" t="inlineStr">
        <is>
          <t>launch, platform, live, release</t>
        </is>
      </c>
      <c r="N17" s="12" t="inlineStr">
        <is>
          <t>Significant new capability introduced in GA.</t>
        </is>
      </c>
      <c r="O17" s="12" t="inlineStr">
        <is>
          <t>Assign 15 points if the main event is a major new platform launch.</t>
        </is>
      </c>
    </row>
    <row r="18">
      <c r="A18" s="13" t="inlineStr">
        <is>
          <t>Strategic Intent (SI)</t>
        </is>
      </c>
      <c r="B18" s="13" t="inlineStr">
        <is>
          <t>SI</t>
        </is>
      </c>
      <c r="C18" s="14" t="inlineStr">
        <is>
          <t>Event Priority</t>
        </is>
      </c>
      <c r="D18" s="14" t="inlineStr">
        <is>
          <t>Product &amp; Tech Events</t>
        </is>
      </c>
      <c r="E18" s="13" t="inlineStr">
        <is>
          <t>R-17</t>
        </is>
      </c>
      <c r="F18" s="14" t="inlineStr">
        <is>
          <t>Minor Feature Release</t>
        </is>
      </c>
      <c r="G18" s="14" t="inlineStr">
        <is>
          <t>N/A</t>
        </is>
      </c>
      <c r="H18" s="15" t="n">
        <v>6</v>
      </c>
      <c r="I18" s="14" t="inlineStr">
        <is>
          <t>SINGLE</t>
        </is>
      </c>
      <c r="J18" s="14" t="inlineStr">
        <is>
          <t>G_EVENT_PRIORITY</t>
        </is>
      </c>
      <c r="K18" s="14" t="inlineStr">
        <is>
          <t>Yes</t>
        </is>
      </c>
      <c r="L18" s="14" t="inlineStr">
        <is>
          <t>feature update, UI redesign, search filters, mobile app update, speed improvement, UI refresh, software patch</t>
        </is>
      </c>
      <c r="M18" s="14" t="inlineStr">
        <is>
          <t>update, filters, redesign, patch</t>
        </is>
      </c>
      <c r="N18" s="14" t="inlineStr">
        <is>
          <t>Incremental update to an existing product feature.</t>
        </is>
      </c>
      <c r="O18" s="14" t="inlineStr">
        <is>
          <t>Assign 6 points if the event is a feature update.</t>
        </is>
      </c>
    </row>
    <row r="19">
      <c r="A19" s="11" t="inlineStr">
        <is>
          <t>Strategic Intent (SI)</t>
        </is>
      </c>
      <c r="B19" s="11" t="inlineStr">
        <is>
          <t>SI</t>
        </is>
      </c>
      <c r="C19" s="12" t="inlineStr">
        <is>
          <t>Event Priority</t>
        </is>
      </c>
      <c r="D19" s="12" t="inlineStr">
        <is>
          <t>Product &amp; Tech Events</t>
        </is>
      </c>
      <c r="E19" s="11" t="inlineStr">
        <is>
          <t>R-18</t>
        </is>
      </c>
      <c r="F19" s="12" t="inlineStr">
        <is>
          <t>API &amp; Developer Launch</t>
        </is>
      </c>
      <c r="G19" s="12" t="inlineStr">
        <is>
          <t>N/A</t>
        </is>
      </c>
      <c r="H19" s="16" t="n">
        <v>10</v>
      </c>
      <c r="I19" s="12" t="inlineStr">
        <is>
          <t>SINGLE</t>
        </is>
      </c>
      <c r="J19" s="12" t="inlineStr">
        <is>
          <t>G_EVENT_PRIORITY</t>
        </is>
      </c>
      <c r="K19" s="12" t="inlineStr">
        <is>
          <t>Yes</t>
        </is>
      </c>
      <c r="L19" s="12" t="inlineStr">
        <is>
          <t>Developer API, SDK release, OpenAPI docs, voice API, developer portal, API access</t>
        </is>
      </c>
      <c r="M19" s="12" t="inlineStr">
        <is>
          <t>API, SDK, developer, portal</t>
        </is>
      </c>
      <c r="N19" s="12" t="inlineStr">
        <is>
          <t>Exposing product engine to third-party developers.</t>
        </is>
      </c>
      <c r="O19" s="12" t="inlineStr">
        <is>
          <t>Assign 10 points if developer tools are released.</t>
        </is>
      </c>
    </row>
    <row r="20">
      <c r="A20" s="13" t="inlineStr">
        <is>
          <t>Strategic Intent (SI)</t>
        </is>
      </c>
      <c r="B20" s="13" t="inlineStr">
        <is>
          <t>SI</t>
        </is>
      </c>
      <c r="C20" s="14" t="inlineStr">
        <is>
          <t>Event Priority</t>
        </is>
      </c>
      <c r="D20" s="14" t="inlineStr">
        <is>
          <t>Product &amp; Tech Events</t>
        </is>
      </c>
      <c r="E20" s="13" t="inlineStr">
        <is>
          <t>R-19</t>
        </is>
      </c>
      <c r="F20" s="14" t="inlineStr">
        <is>
          <t>UI/UX Revamp</t>
        </is>
      </c>
      <c r="G20" s="14" t="inlineStr">
        <is>
          <t>N/A</t>
        </is>
      </c>
      <c r="H20" s="15" t="n">
        <v>4</v>
      </c>
      <c r="I20" s="14" t="inlineStr">
        <is>
          <t>SINGLE</t>
        </is>
      </c>
      <c r="J20" s="14" t="inlineStr">
        <is>
          <t>G_EVENT_PRIORITY</t>
        </is>
      </c>
      <c r="K20" s="14" t="inlineStr">
        <is>
          <t>Yes</t>
        </is>
      </c>
      <c r="L20" s="14" t="inlineStr">
        <is>
          <t>logo refresh, dark mode, navigation layout, cosmetic update, visual design overhaul, UX refresh</t>
        </is>
      </c>
      <c r="M20" s="14" t="inlineStr">
        <is>
          <t>logo, style, dark mode, design</t>
        </is>
      </c>
      <c r="N20" s="14" t="inlineStr">
        <is>
          <t>Pure interface re-styling.</t>
        </is>
      </c>
      <c r="O20" s="14" t="inlineStr">
        <is>
          <t>Assign 4 points if the change is layout-only with no new functionalities.</t>
        </is>
      </c>
    </row>
    <row r="21">
      <c r="A21" s="11" t="inlineStr">
        <is>
          <t>Strategic Intent (SI)</t>
        </is>
      </c>
      <c r="B21" s="11" t="inlineStr">
        <is>
          <t>SI</t>
        </is>
      </c>
      <c r="C21" s="12" t="inlineStr">
        <is>
          <t>Event Priority</t>
        </is>
      </c>
      <c r="D21" s="12" t="inlineStr">
        <is>
          <t>Financial Events</t>
        </is>
      </c>
      <c r="E21" s="11" t="inlineStr">
        <is>
          <t>R-20</t>
        </is>
      </c>
      <c r="F21" s="12" t="inlineStr">
        <is>
          <t>Venture Funding Round</t>
        </is>
      </c>
      <c r="G21" s="12" t="inlineStr">
        <is>
          <t>N/A</t>
        </is>
      </c>
      <c r="H21" s="16" t="n">
        <v>12</v>
      </c>
      <c r="I21" s="12" t="inlineStr">
        <is>
          <t>SINGLE</t>
        </is>
      </c>
      <c r="J21" s="12" t="inlineStr">
        <is>
          <t>G_EVENT_PRIORITY</t>
        </is>
      </c>
      <c r="K21" s="12" t="inlineStr">
        <is>
          <t>Yes</t>
        </is>
      </c>
      <c r="L21" s="12" t="inlineStr">
        <is>
          <t>raised funding, venture round, Series A, Series B, Series C, Series D, Series E, VC funding, capital injection</t>
        </is>
      </c>
      <c r="M21" s="12" t="inlineStr">
        <is>
          <t>funding, raised, VC, Series</t>
        </is>
      </c>
      <c r="N21" s="12" t="inlineStr">
        <is>
          <t>Growth capital secured from VCs.</t>
        </is>
      </c>
      <c r="O21" s="12" t="inlineStr">
        <is>
          <t>Assign 12 points if competitor raises a venture funding round.</t>
        </is>
      </c>
    </row>
    <row r="22">
      <c r="A22" s="13" t="inlineStr">
        <is>
          <t>Strategic Intent (SI)</t>
        </is>
      </c>
      <c r="B22" s="13" t="inlineStr">
        <is>
          <t>SI</t>
        </is>
      </c>
      <c r="C22" s="14" t="inlineStr">
        <is>
          <t>Event Priority</t>
        </is>
      </c>
      <c r="D22" s="14" t="inlineStr">
        <is>
          <t>Financial Events</t>
        </is>
      </c>
      <c r="E22" s="13" t="inlineStr">
        <is>
          <t>R-21</t>
        </is>
      </c>
      <c r="F22" s="14" t="inlineStr">
        <is>
          <t>Merger &amp; Acquisition (M&amp;A)</t>
        </is>
      </c>
      <c r="G22" s="14" t="inlineStr">
        <is>
          <t>N/A</t>
        </is>
      </c>
      <c r="H22" s="15" t="n">
        <v>15</v>
      </c>
      <c r="I22" s="14" t="inlineStr">
        <is>
          <t>SINGLE</t>
        </is>
      </c>
      <c r="J22" s="14" t="inlineStr">
        <is>
          <t>G_EVENT_PRIORITY</t>
        </is>
      </c>
      <c r="K22" s="14" t="inlineStr">
        <is>
          <t>Yes</t>
        </is>
      </c>
      <c r="L22" s="14" t="inlineStr">
        <is>
          <t>acquires competitor, completed acquisition, Egencia portfolio, merger agreement, M&amp;A deal, strategic acquisition, acquires CWT, acquires AmTrav, acquisition of Brazil, Smartrips</t>
        </is>
      </c>
      <c r="M22" s="14" t="inlineStr">
        <is>
          <t>acquisition, merger, acquires</t>
        </is>
      </c>
      <c r="N22" s="14" t="inlineStr">
        <is>
          <t>Acquiring market share or capabilities.</t>
        </is>
      </c>
      <c r="O22" s="14" t="inlineStr">
        <is>
          <t>Assign 15 points if competitor completes an acquisition/merger.</t>
        </is>
      </c>
    </row>
    <row r="23">
      <c r="A23" s="11" t="inlineStr">
        <is>
          <t>Strategic Intent (SI)</t>
        </is>
      </c>
      <c r="B23" s="11" t="inlineStr">
        <is>
          <t>SI</t>
        </is>
      </c>
      <c r="C23" s="12" t="inlineStr">
        <is>
          <t>Event Priority</t>
        </is>
      </c>
      <c r="D23" s="12" t="inlineStr">
        <is>
          <t>Financial Events</t>
        </is>
      </c>
      <c r="E23" s="11" t="inlineStr">
        <is>
          <t>R-22</t>
        </is>
      </c>
      <c r="F23" s="12" t="inlineStr">
        <is>
          <t>Joint Venture / Partnership</t>
        </is>
      </c>
      <c r="G23" s="12" t="inlineStr">
        <is>
          <t>N/A</t>
        </is>
      </c>
      <c r="H23" s="16" t="n">
        <v>8</v>
      </c>
      <c r="I23" s="12" t="inlineStr">
        <is>
          <t>SINGLE</t>
        </is>
      </c>
      <c r="J23" s="12" t="inlineStr">
        <is>
          <t>G_EVENT_PRIORITY</t>
        </is>
      </c>
      <c r="K23" s="12" t="inlineStr">
        <is>
          <t>Yes</t>
        </is>
      </c>
      <c r="L23" s="12" t="inlineStr">
        <is>
          <t>partnership agreement, joint venture, embedded travel, Stripe Treasury, corporate alliance, strategic partnership</t>
        </is>
      </c>
      <c r="M23" s="12" t="inlineStr">
        <is>
          <t>partner, alliance, agreement</t>
        </is>
      </c>
      <c r="N23" s="12" t="inlineStr">
        <is>
          <t>Joint commercial alliance.</t>
        </is>
      </c>
      <c r="O23" s="12" t="inlineStr">
        <is>
          <t>Assign 8 points if competitor partners for product reach.</t>
        </is>
      </c>
    </row>
    <row r="24">
      <c r="A24" s="13" t="inlineStr">
        <is>
          <t>Strategic Intent (SI)</t>
        </is>
      </c>
      <c r="B24" s="13" t="inlineStr">
        <is>
          <t>SI</t>
        </is>
      </c>
      <c r="C24" s="14" t="inlineStr">
        <is>
          <t>Event Priority</t>
        </is>
      </c>
      <c r="D24" s="14" t="inlineStr">
        <is>
          <t>Financial Events</t>
        </is>
      </c>
      <c r="E24" s="13" t="inlineStr">
        <is>
          <t>R-23</t>
        </is>
      </c>
      <c r="F24" s="14" t="inlineStr">
        <is>
          <t>IPO / SEC Filings</t>
        </is>
      </c>
      <c r="G24" s="14" t="inlineStr">
        <is>
          <t>N/A</t>
        </is>
      </c>
      <c r="H24" s="15" t="n">
        <v>12</v>
      </c>
      <c r="I24" s="14" t="inlineStr">
        <is>
          <t>SINGLE</t>
        </is>
      </c>
      <c r="J24" s="14" t="inlineStr">
        <is>
          <t>G_EVENT_PRIORITY</t>
        </is>
      </c>
      <c r="K24" s="14" t="inlineStr">
        <is>
          <t>Yes</t>
        </is>
      </c>
      <c r="L24" s="14" t="inlineStr">
        <is>
          <t>S-1 filing, quarterly earnings, NYSE listing, Nasdaq listing, investor transcript, quarterly results, Nasdaq IPO</t>
        </is>
      </c>
      <c r="M24" s="14" t="inlineStr">
        <is>
          <t>IPO, S-1, earnings, transcript</t>
        </is>
      </c>
      <c r="N24" s="14" t="inlineStr">
        <is>
          <t>S-1 filing or quarterly earnings transcripts.</t>
        </is>
      </c>
      <c r="O24" s="14" t="inlineStr">
        <is>
          <t>Assign 12 points if regulatory SEC files are published.</t>
        </is>
      </c>
    </row>
    <row r="25">
      <c r="A25" s="11" t="inlineStr">
        <is>
          <t>Strategic Intent (SI)</t>
        </is>
      </c>
      <c r="B25" s="11" t="inlineStr">
        <is>
          <t>SI</t>
        </is>
      </c>
      <c r="C25" s="12" t="inlineStr">
        <is>
          <t>Event Priority</t>
        </is>
      </c>
      <c r="D25" s="12" t="inlineStr">
        <is>
          <t>Marketing Events</t>
        </is>
      </c>
      <c r="E25" s="11" t="inlineStr">
        <is>
          <t>R-24</t>
        </is>
      </c>
      <c r="F25" s="12" t="inlineStr">
        <is>
          <t>Ad Campaign Launch</t>
        </is>
      </c>
      <c r="G25" s="12" t="inlineStr">
        <is>
          <t>N/A</t>
        </is>
      </c>
      <c r="H25" s="16" t="n">
        <v>10</v>
      </c>
      <c r="I25" s="12" t="inlineStr">
        <is>
          <t>SINGLE</t>
        </is>
      </c>
      <c r="J25" s="12" t="inlineStr">
        <is>
          <t>G_EVENT_PRIORITY</t>
        </is>
      </c>
      <c r="K25" s="12" t="inlineStr">
        <is>
          <t>Yes</t>
        </is>
      </c>
      <c r="L25" s="12" t="inlineStr">
        <is>
          <t>campaign launched, Meta Ads campaign, LinkedIn campaign, active ad library, promotional campaign</t>
        </is>
      </c>
      <c r="M25" s="12" t="inlineStr">
        <is>
          <t>campaign, ads, marketing</t>
        </is>
      </c>
      <c r="N25" s="12" t="inlineStr">
        <is>
          <t>Paid media push launched in Meta/LinkedIn/YouTube.</t>
        </is>
      </c>
      <c r="O25" s="12" t="inlineStr">
        <is>
          <t>Assign 10 points if a new ad campaign theme is detected.</t>
        </is>
      </c>
    </row>
    <row r="26">
      <c r="A26" s="13" t="inlineStr">
        <is>
          <t>Strategic Intent (SI)</t>
        </is>
      </c>
      <c r="B26" s="13" t="inlineStr">
        <is>
          <t>SI</t>
        </is>
      </c>
      <c r="C26" s="14" t="inlineStr">
        <is>
          <t>Event Priority</t>
        </is>
      </c>
      <c r="D26" s="14" t="inlineStr">
        <is>
          <t>Marketing Events</t>
        </is>
      </c>
      <c r="E26" s="13" t="inlineStr">
        <is>
          <t>R-25</t>
        </is>
      </c>
      <c r="F26" s="14" t="inlineStr">
        <is>
          <t>Event &amp; Webinar Hosting</t>
        </is>
      </c>
      <c r="G26" s="14" t="inlineStr">
        <is>
          <t>N/A</t>
        </is>
      </c>
      <c r="H26" s="15" t="n">
        <v>8</v>
      </c>
      <c r="I26" s="14" t="inlineStr">
        <is>
          <t>SINGLE</t>
        </is>
      </c>
      <c r="J26" s="14" t="inlineStr">
        <is>
          <t>G_EVENT_PRIORITY</t>
        </is>
      </c>
      <c r="K26" s="14" t="inlineStr">
        <is>
          <t>Yes</t>
        </is>
      </c>
      <c r="L26" s="14" t="inlineStr">
        <is>
          <t>Eventbrite page, hosts webinar, BTN Summit speaker, Skift Global Keynote, competitor conference</t>
        </is>
      </c>
      <c r="M26" s="14" t="inlineStr">
        <is>
          <t>webinar, conference, hosting, speaker</t>
        </is>
      </c>
      <c r="N26" s="14" t="inlineStr">
        <is>
          <t>Lead generation event scheduled.</t>
        </is>
      </c>
      <c r="O26" s="14" t="inlineStr">
        <is>
          <t>Assign 8 points if competitor hosts a conference or webinar.</t>
        </is>
      </c>
    </row>
    <row r="27">
      <c r="A27" s="11" t="inlineStr">
        <is>
          <t>Strategic Intent (SI)</t>
        </is>
      </c>
      <c r="B27" s="11" t="inlineStr">
        <is>
          <t>SI</t>
        </is>
      </c>
      <c r="C27" s="12" t="inlineStr">
        <is>
          <t>Event Priority</t>
        </is>
      </c>
      <c r="D27" s="12" t="inlineStr">
        <is>
          <t>Marketing Events</t>
        </is>
      </c>
      <c r="E27" s="11" t="inlineStr">
        <is>
          <t>R-26</t>
        </is>
      </c>
      <c r="F27" s="12" t="inlineStr">
        <is>
          <t>Thought Leadership Blog</t>
        </is>
      </c>
      <c r="G27" s="12" t="inlineStr">
        <is>
          <t>N/A</t>
        </is>
      </c>
      <c r="H27" s="16" t="n">
        <v>5</v>
      </c>
      <c r="I27" s="12" t="inlineStr">
        <is>
          <t>SINGLE</t>
        </is>
      </c>
      <c r="J27" s="12" t="inlineStr">
        <is>
          <t>G_EVENT_PRIORITY</t>
        </is>
      </c>
      <c r="K27" s="12" t="inlineStr">
        <is>
          <t>Yes</t>
        </is>
      </c>
      <c r="L27" s="12" t="inlineStr">
        <is>
          <t>corporate blog post, executive writeup, company newsletter, whitepaper launch, travel trends report</t>
        </is>
      </c>
      <c r="M27" s="12" t="inlineStr">
        <is>
          <t>blog, writeup, newsletter, trends</t>
        </is>
      </c>
      <c r="N27" s="12" t="inlineStr">
        <is>
          <t>Self-published blog post highlighting travel concepts.</t>
        </is>
      </c>
      <c r="O27" s="12" t="inlineStr">
        <is>
          <t>Assign 5 points if article is thought leadership.</t>
        </is>
      </c>
    </row>
    <row r="28">
      <c r="A28" s="13" t="inlineStr">
        <is>
          <t>Strategic Intent (SI)</t>
        </is>
      </c>
      <c r="B28" s="13" t="inlineStr">
        <is>
          <t>SI</t>
        </is>
      </c>
      <c r="C28" s="14" t="inlineStr">
        <is>
          <t>Event Priority</t>
        </is>
      </c>
      <c r="D28" s="14" t="inlineStr">
        <is>
          <t>Marketing Events</t>
        </is>
      </c>
      <c r="E28" s="13" t="inlineStr">
        <is>
          <t>R-27</t>
        </is>
      </c>
      <c r="F28" s="14" t="inlineStr">
        <is>
          <t>Social Media Activity</t>
        </is>
      </c>
      <c r="G28" s="14" t="inlineStr">
        <is>
          <t>N/A</t>
        </is>
      </c>
      <c r="H28" s="15" t="n">
        <v>3</v>
      </c>
      <c r="I28" s="14" t="inlineStr">
        <is>
          <t>SINGLE</t>
        </is>
      </c>
      <c r="J28" s="14" t="inlineStr">
        <is>
          <t>G_EVENT_PRIORITY</t>
        </is>
      </c>
      <c r="K28" s="14" t="inlineStr">
        <is>
          <t>Yes</t>
        </is>
      </c>
      <c r="L28" s="14" t="inlineStr">
        <is>
          <t>LinkedIn post, Twitter update, organic share, YouTube video upload, social media post</t>
        </is>
      </c>
      <c r="M28" s="14" t="inlineStr">
        <is>
          <t>LinkedIn, Twitter, social, post</t>
        </is>
      </c>
      <c r="N28" s="14" t="inlineStr">
        <is>
          <t>Standard organic posting on LinkedIn/Twitter.</t>
        </is>
      </c>
      <c r="O28" s="14" t="inlineStr">
        <is>
          <t>Assign 3 points if the source is an organic social post.</t>
        </is>
      </c>
    </row>
    <row r="29">
      <c r="A29" s="11" t="inlineStr">
        <is>
          <t>Strategic Intent (SI)</t>
        </is>
      </c>
      <c r="B29" s="11" t="inlineStr">
        <is>
          <t>SI</t>
        </is>
      </c>
      <c r="C29" s="12" t="inlineStr">
        <is>
          <t>Event Priority</t>
        </is>
      </c>
      <c r="D29" s="12" t="inlineStr">
        <is>
          <t>HR &amp; Org Events</t>
        </is>
      </c>
      <c r="E29" s="11" t="inlineStr">
        <is>
          <t>R-28</t>
        </is>
      </c>
      <c r="F29" s="12" t="inlineStr">
        <is>
          <t>C-Level / VP Hire</t>
        </is>
      </c>
      <c r="G29" s="12" t="inlineStr">
        <is>
          <t>N/A</t>
        </is>
      </c>
      <c r="H29" s="16" t="n">
        <v>12</v>
      </c>
      <c r="I29" s="12" t="inlineStr">
        <is>
          <t>SINGLE</t>
        </is>
      </c>
      <c r="J29" s="12" t="inlineStr">
        <is>
          <t>G_EVENT_PRIORITY</t>
        </is>
      </c>
      <c r="K29" s="12" t="inlineStr">
        <is>
          <t>Yes</t>
        </is>
      </c>
      <c r="L29" s="12" t="inlineStr">
        <is>
          <t>Sarah Chen appointed, VP appointment, ex-Google DeepMind, hired ex-OpenAI, executive recruit, chief technology officer</t>
        </is>
      </c>
      <c r="M29" s="12" t="inlineStr">
        <is>
          <t>VP, chief, hire, appointed</t>
        </is>
      </c>
      <c r="N29" s="12" t="inlineStr">
        <is>
          <t>Key strategic leadership hire.</t>
        </is>
      </c>
      <c r="O29" s="12" t="inlineStr">
        <is>
          <t>Assign 12 points if competitor hires a C-level or VP executive.</t>
        </is>
      </c>
    </row>
    <row r="30">
      <c r="A30" s="13" t="inlineStr">
        <is>
          <t>Strategic Intent (SI)</t>
        </is>
      </c>
      <c r="B30" s="13" t="inlineStr">
        <is>
          <t>SI</t>
        </is>
      </c>
      <c r="C30" s="14" t="inlineStr">
        <is>
          <t>Event Priority</t>
        </is>
      </c>
      <c r="D30" s="14" t="inlineStr">
        <is>
          <t>HR &amp; Org Events</t>
        </is>
      </c>
      <c r="E30" s="13" t="inlineStr">
        <is>
          <t>R-29</t>
        </is>
      </c>
      <c r="F30" s="14" t="inlineStr">
        <is>
          <t>Engineering Hiring Spike</t>
        </is>
      </c>
      <c r="G30" s="14" t="inlineStr">
        <is>
          <t>N/A</t>
        </is>
      </c>
      <c r="H30" s="15" t="n">
        <v>8</v>
      </c>
      <c r="I30" s="14" t="inlineStr">
        <is>
          <t>SINGLE</t>
        </is>
      </c>
      <c r="J30" s="14" t="inlineStr">
        <is>
          <t>G_EVENT_PRIORITY</t>
        </is>
      </c>
      <c r="K30" s="14" t="inlineStr">
        <is>
          <t>Yes</t>
        </is>
      </c>
      <c r="L30" s="14" t="inlineStr">
        <is>
          <t>open engineering roles, hiring developers, software engineers wanted, ML hiring, tech hiring spike</t>
        </is>
      </c>
      <c r="M30" s="14" t="inlineStr">
        <is>
          <t>developers, hiring, engineering, ML</t>
        </is>
      </c>
      <c r="N30" s="14" t="inlineStr">
        <is>
          <t>Hiring concentrated in software and AI roles.</t>
        </is>
      </c>
      <c r="O30" s="14" t="inlineStr">
        <is>
          <t>Assign 8 points if hiring shows engineering dominance (&gt;60% open roles).</t>
        </is>
      </c>
    </row>
    <row r="31">
      <c r="A31" s="11" t="inlineStr">
        <is>
          <t>Strategic Intent (SI)</t>
        </is>
      </c>
      <c r="B31" s="11" t="inlineStr">
        <is>
          <t>SI</t>
        </is>
      </c>
      <c r="C31" s="12" t="inlineStr">
        <is>
          <t>Event Priority</t>
        </is>
      </c>
      <c r="D31" s="12" t="inlineStr">
        <is>
          <t>HR &amp; Org Events</t>
        </is>
      </c>
      <c r="E31" s="11" t="inlineStr">
        <is>
          <t>R-30</t>
        </is>
      </c>
      <c r="F31" s="12" t="inlineStr">
        <is>
          <t>Sales/Marketing Expansion Hires</t>
        </is>
      </c>
      <c r="G31" s="12" t="inlineStr">
        <is>
          <t>N/A</t>
        </is>
      </c>
      <c r="H31" s="16" t="n">
        <v>6</v>
      </c>
      <c r="I31" s="12" t="inlineStr">
        <is>
          <t>SINGLE</t>
        </is>
      </c>
      <c r="J31" s="12" t="inlineStr">
        <is>
          <t>G_EVENT_PRIORITY</t>
        </is>
      </c>
      <c r="K31" s="12" t="inlineStr">
        <is>
          <t>Yes</t>
        </is>
      </c>
      <c r="L31" s="12" t="inlineStr">
        <is>
          <t>hiring sales executives, account managers, US sales director, business development team</t>
        </is>
      </c>
      <c r="M31" s="12" t="inlineStr">
        <is>
          <t>sales, hiring, marketing</t>
        </is>
      </c>
      <c r="N31" s="12" t="inlineStr">
        <is>
          <t>Hiring sales directors or account executives.</t>
        </is>
      </c>
      <c r="O31" s="12" t="inlineStr">
        <is>
          <t>Assign 6 points if hiring shows go-to-market scaling focus.</t>
        </is>
      </c>
    </row>
    <row r="32">
      <c r="A32" s="13" t="inlineStr">
        <is>
          <t>Strategic Intent (SI)</t>
        </is>
      </c>
      <c r="B32" s="13" t="inlineStr">
        <is>
          <t>SI</t>
        </is>
      </c>
      <c r="C32" s="14" t="inlineStr">
        <is>
          <t>Strategic Context</t>
        </is>
      </c>
      <c r="D32" s="14" t="inlineStr">
        <is>
          <t>Disruption Scale</t>
        </is>
      </c>
      <c r="E32" s="13" t="inlineStr">
        <is>
          <t>R-31</t>
        </is>
      </c>
      <c r="F32" s="14" t="inlineStr">
        <is>
          <t>Category Paradigm Shift</t>
        </is>
      </c>
      <c r="G32" s="14" t="inlineStr">
        <is>
          <t>N/A</t>
        </is>
      </c>
      <c r="H32" s="15" t="n">
        <v>10</v>
      </c>
      <c r="I32" s="14" t="inlineStr">
        <is>
          <t>SINGLE</t>
        </is>
      </c>
      <c r="J32" s="14" t="inlineStr">
        <is>
          <t>G_DISRUPTION</t>
        </is>
      </c>
      <c r="K32" s="14" t="inlineStr">
        <is>
          <t>Yes</t>
        </is>
      </c>
      <c r="L32" s="14" t="inlineStr">
        <is>
          <t>outcome-based booking, no-touch booking, autonomous approvals, zero human requests, workflow automation</t>
        </is>
      </c>
      <c r="M32" s="14" t="inlineStr">
        <is>
          <t>paradigm, shift, autonomous, automation</t>
        </is>
      </c>
      <c r="N32" s="14" t="inlineStr">
        <is>
          <t>Attempts to disrupt traditional travel booking rules.</t>
        </is>
      </c>
      <c r="O32" s="14" t="inlineStr">
        <is>
          <t>Assign 10 points if the feature shifts output ownership to AI.</t>
        </is>
      </c>
    </row>
    <row r="33">
      <c r="A33" s="11" t="inlineStr">
        <is>
          <t>Strategic Intent (SI)</t>
        </is>
      </c>
      <c r="B33" s="11" t="inlineStr">
        <is>
          <t>SI</t>
        </is>
      </c>
      <c r="C33" s="12" t="inlineStr">
        <is>
          <t>Strategic Context</t>
        </is>
      </c>
      <c r="D33" s="12" t="inlineStr">
        <is>
          <t>Disruption Scale</t>
        </is>
      </c>
      <c r="E33" s="11" t="inlineStr">
        <is>
          <t>R-32</t>
        </is>
      </c>
      <c r="F33" s="12" t="inlineStr">
        <is>
          <t>Incremental Innovation</t>
        </is>
      </c>
      <c r="G33" s="12" t="inlineStr">
        <is>
          <t>N/A</t>
        </is>
      </c>
      <c r="H33" s="16" t="n">
        <v>5</v>
      </c>
      <c r="I33" s="12" t="inlineStr">
        <is>
          <t>SINGLE</t>
        </is>
      </c>
      <c r="J33" s="12" t="inlineStr">
        <is>
          <t>G_DISRUPTION</t>
        </is>
      </c>
      <c r="K33" s="12" t="inlineStr">
        <is>
          <t>Yes</t>
        </is>
      </c>
      <c r="L33" s="12" t="inlineStr">
        <is>
          <t>faster travel search, auto-populate details, receipt upload improvements, upgraded UI, custom filter parameters</t>
        </is>
      </c>
      <c r="M33" s="12" t="inlineStr">
        <is>
          <t>incremental, upgrade, improve, filters</t>
        </is>
      </c>
      <c r="N33" s="12" t="inlineStr">
        <is>
          <t>Improves convenience of current features.</t>
        </is>
      </c>
      <c r="O33" s="12" t="inlineStr">
        <is>
          <t>Assign 5 points if the feature upgrades standard flows.</t>
        </is>
      </c>
    </row>
    <row r="34">
      <c r="A34" s="13" t="inlineStr">
        <is>
          <t>Strategic Intent (SI)</t>
        </is>
      </c>
      <c r="B34" s="13" t="inlineStr">
        <is>
          <t>SI</t>
        </is>
      </c>
      <c r="C34" s="14" t="inlineStr">
        <is>
          <t>Strategic Context</t>
        </is>
      </c>
      <c r="D34" s="14" t="inlineStr">
        <is>
          <t>Disruption Scale</t>
        </is>
      </c>
      <c r="E34" s="13" t="inlineStr">
        <is>
          <t>R-33</t>
        </is>
      </c>
      <c r="F34" s="14" t="inlineStr">
        <is>
          <t>Commodity / Maintenance</t>
        </is>
      </c>
      <c r="G34" s="14" t="inlineStr">
        <is>
          <t>N/A</t>
        </is>
      </c>
      <c r="H34" s="15" t="n">
        <v>1</v>
      </c>
      <c r="I34" s="14" t="inlineStr">
        <is>
          <t>SINGLE</t>
        </is>
      </c>
      <c r="J34" s="14" t="inlineStr">
        <is>
          <t>G_DISRUPTION</t>
        </is>
      </c>
      <c r="K34" s="14" t="inlineStr">
        <is>
          <t>Yes</t>
        </is>
      </c>
      <c r="L34" s="14" t="inlineStr">
        <is>
          <t>security patch, bug fixes, performance upgrade, standard maintenance, system stability</t>
        </is>
      </c>
      <c r="M34" s="14" t="inlineStr">
        <is>
          <t>maintenance, patches, bugs</t>
        </is>
      </c>
      <c r="N34" s="14" t="inlineStr">
        <is>
          <t>Security audits, bug fixes, or routine updates.</t>
        </is>
      </c>
      <c r="O34" s="14" t="inlineStr">
        <is>
          <t>Assign 1 point if the update is maintenance-only.</t>
        </is>
      </c>
    </row>
    <row r="35">
      <c r="A35" s="11" t="inlineStr">
        <is>
          <t>Strategic Intent (SI)</t>
        </is>
      </c>
      <c r="B35" s="11" t="inlineStr">
        <is>
          <t>SI</t>
        </is>
      </c>
      <c r="C35" s="12" t="inlineStr">
        <is>
          <t>Strategic Context</t>
        </is>
      </c>
      <c r="D35" s="12" t="inlineStr">
        <is>
          <t>AI &amp; Agentic Depth</t>
        </is>
      </c>
      <c r="E35" s="11" t="inlineStr">
        <is>
          <t>R-34</t>
        </is>
      </c>
      <c r="F35" s="12" t="inlineStr">
        <is>
          <t>Multi-Agent Frameworks</t>
        </is>
      </c>
      <c r="G35" s="12" t="inlineStr">
        <is>
          <t>N/A</t>
        </is>
      </c>
      <c r="H35" s="16" t="n">
        <v>10</v>
      </c>
      <c r="I35" s="12" t="inlineStr">
        <is>
          <t>SINGLE</t>
        </is>
      </c>
      <c r="J35" s="12" t="inlineStr">
        <is>
          <t>G_AI_DEPTH</t>
        </is>
      </c>
      <c r="K35" s="12" t="inlineStr">
        <is>
          <t>Yes</t>
        </is>
      </c>
      <c r="L35" s="12" t="inlineStr">
        <is>
          <t>LangGraph coordination, multi-agent coordination, agentic workflow, crewAI orchestration, agentic network</t>
        </is>
      </c>
      <c r="M35" s="12" t="inlineStr">
        <is>
          <t>agents, network, LangGraph, framework</t>
        </is>
      </c>
      <c r="N35" s="12" t="inlineStr">
        <is>
          <t>Using multiple AI agents that collaborate.</t>
        </is>
      </c>
      <c r="O35" s="12" t="inlineStr">
        <is>
          <t>Assign 10 points if multi-agent architecture is mentioned in tech news.</t>
        </is>
      </c>
    </row>
    <row r="36">
      <c r="A36" s="13" t="inlineStr">
        <is>
          <t>Strategic Intent (SI)</t>
        </is>
      </c>
      <c r="B36" s="13" t="inlineStr">
        <is>
          <t>SI</t>
        </is>
      </c>
      <c r="C36" s="14" t="inlineStr">
        <is>
          <t>Strategic Context</t>
        </is>
      </c>
      <c r="D36" s="14" t="inlineStr">
        <is>
          <t>AI &amp; Agentic Depth</t>
        </is>
      </c>
      <c r="E36" s="13" t="inlineStr">
        <is>
          <t>R-35</t>
        </is>
      </c>
      <c r="F36" s="14" t="inlineStr">
        <is>
          <t>Conversational Voice APIs</t>
        </is>
      </c>
      <c r="G36" s="14" t="inlineStr">
        <is>
          <t>N/A</t>
        </is>
      </c>
      <c r="H36" s="15" t="n">
        <v>8</v>
      </c>
      <c r="I36" s="14" t="inlineStr">
        <is>
          <t>SINGLE</t>
        </is>
      </c>
      <c r="J36" s="14" t="inlineStr">
        <is>
          <t>G_AI_DEPTH</t>
        </is>
      </c>
      <c r="K36" s="14" t="inlineStr">
        <is>
          <t>Yes</t>
        </is>
      </c>
      <c r="L36" s="14" t="inlineStr">
        <is>
          <t>voice agent, Realtime API, sub-300ms latency, conversational voice, ElevenLabs integration</t>
        </is>
      </c>
      <c r="M36" s="14" t="inlineStr">
        <is>
          <t>voice, API, conversational, realtime</t>
        </is>
      </c>
      <c r="N36" s="14" t="inlineStr">
        <is>
          <t>Low-latency voice conversion.</t>
        </is>
      </c>
      <c r="O36" s="14" t="inlineStr">
        <is>
          <t>Assign 8 points if low-latency voice integration is used.</t>
        </is>
      </c>
    </row>
    <row r="37">
      <c r="A37" s="11" t="inlineStr">
        <is>
          <t>Strategic Intent (SI)</t>
        </is>
      </c>
      <c r="B37" s="11" t="inlineStr">
        <is>
          <t>SI</t>
        </is>
      </c>
      <c r="C37" s="12" t="inlineStr">
        <is>
          <t>Strategic Context</t>
        </is>
      </c>
      <c r="D37" s="12" t="inlineStr">
        <is>
          <t>AI &amp; Agentic Depth</t>
        </is>
      </c>
      <c r="E37" s="11" t="inlineStr">
        <is>
          <t>R-36</t>
        </is>
      </c>
      <c r="F37" s="12" t="inlineStr">
        <is>
          <t>Persistent Agent Memory</t>
        </is>
      </c>
      <c r="G37" s="12" t="inlineStr">
        <is>
          <t>N/A</t>
        </is>
      </c>
      <c r="H37" s="16" t="n">
        <v>8</v>
      </c>
      <c r="I37" s="12" t="inlineStr">
        <is>
          <t>SINGLE</t>
        </is>
      </c>
      <c r="J37" s="12" t="inlineStr">
        <is>
          <t>G_AI_DEPTH</t>
        </is>
      </c>
      <c r="K37" s="12" t="inlineStr">
        <is>
          <t>Yes</t>
        </is>
      </c>
      <c r="L37" s="12" t="inlineStr">
        <is>
          <t>agent memory API, persistent context, cross-session memory, memory API, preferences retention</t>
        </is>
      </c>
      <c r="M37" s="12" t="inlineStr">
        <is>
          <t>memory, persistent, session</t>
        </is>
      </c>
      <c r="N37" s="12" t="inlineStr">
        <is>
          <t>Retaining context across separate sessions.</t>
        </is>
      </c>
      <c r="O37" s="12" t="inlineStr">
        <is>
          <t>Assign 8 points if persistent multi-session context is enabled.</t>
        </is>
      </c>
    </row>
    <row r="38">
      <c r="A38" s="13" t="inlineStr">
        <is>
          <t>Strategic Intent (SI)</t>
        </is>
      </c>
      <c r="B38" s="13" t="inlineStr">
        <is>
          <t>SI</t>
        </is>
      </c>
      <c r="C38" s="14" t="inlineStr">
        <is>
          <t>Strategic Context</t>
        </is>
      </c>
      <c r="D38" s="14" t="inlineStr">
        <is>
          <t>AI &amp; Agentic Depth</t>
        </is>
      </c>
      <c r="E38" s="13" t="inlineStr">
        <is>
          <t>R-37</t>
        </is>
      </c>
      <c r="F38" s="14" t="inlineStr">
        <is>
          <t>Simple LLM Wrapper</t>
        </is>
      </c>
      <c r="G38" s="14" t="inlineStr">
        <is>
          <t>N/A</t>
        </is>
      </c>
      <c r="H38" s="15" t="n">
        <v>3</v>
      </c>
      <c r="I38" s="14" t="inlineStr">
        <is>
          <t>SINGLE</t>
        </is>
      </c>
      <c r="J38" s="14" t="inlineStr">
        <is>
          <t>G_AI_DEPTH</t>
        </is>
      </c>
      <c r="K38" s="14" t="inlineStr">
        <is>
          <t>Yes</t>
        </is>
      </c>
      <c r="L38" s="14" t="inlineStr">
        <is>
          <t>AI description generator, auto-generated tags, basic chat module, GPT-wrapper</t>
        </is>
      </c>
      <c r="M38" s="14" t="inlineStr">
        <is>
          <t>wrapper, basic, chat</t>
        </is>
      </c>
      <c r="N38" s="14" t="inlineStr">
        <is>
          <t>Basic GPT/Claude wrapper with no custom logic.</t>
        </is>
      </c>
      <c r="O38" s="14" t="inlineStr">
        <is>
          <t>Assign 3 points if AI is used only for basic text generation.</t>
        </is>
      </c>
    </row>
    <row r="39">
      <c r="A39" s="11" t="inlineStr">
        <is>
          <t>Strategic Intent (SI)</t>
        </is>
      </c>
      <c r="B39" s="11" t="inlineStr">
        <is>
          <t>SI</t>
        </is>
      </c>
      <c r="C39" s="12" t="inlineStr">
        <is>
          <t>Strategic Context</t>
        </is>
      </c>
      <c r="D39" s="12" t="inlineStr">
        <is>
          <t>Pricing Shifts</t>
        </is>
      </c>
      <c r="E39" s="11" t="inlineStr">
        <is>
          <t>R-38</t>
        </is>
      </c>
      <c r="F39" s="12" t="inlineStr">
        <is>
          <t>Quiet Enterprise Price Hike</t>
        </is>
      </c>
      <c r="G39" s="12" t="inlineStr">
        <is>
          <t>N/A</t>
        </is>
      </c>
      <c r="H39" s="16" t="n">
        <v>10</v>
      </c>
      <c r="I39" s="12" t="inlineStr">
        <is>
          <t>SINGLE</t>
        </is>
      </c>
      <c r="J39" s="12" t="inlineStr">
        <is>
          <t>G_PRICING</t>
        </is>
      </c>
      <c r="K39" s="12" t="inlineStr">
        <is>
          <t>Yes</t>
        </is>
      </c>
      <c r="L39" s="12" t="inlineStr">
        <is>
          <t>pricing raised 14%, effective renewals, quiet price hike, contract increase, subscription rate raise</t>
        </is>
      </c>
      <c r="M39" s="12" t="inlineStr">
        <is>
          <t>price, hike, raise, renewals</t>
        </is>
      </c>
      <c r="N39" s="12" t="inlineStr">
        <is>
          <t>Quiet pricing raise detected on renewals.</t>
        </is>
      </c>
      <c r="O39" s="12" t="inlineStr">
        <is>
          <t>Assign 10 points if enterprise contract pricing is raised.</t>
        </is>
      </c>
    </row>
    <row r="40">
      <c r="A40" s="13" t="inlineStr">
        <is>
          <t>Strategic Intent (SI)</t>
        </is>
      </c>
      <c r="B40" s="13" t="inlineStr">
        <is>
          <t>SI</t>
        </is>
      </c>
      <c r="C40" s="14" t="inlineStr">
        <is>
          <t>Strategic Context</t>
        </is>
      </c>
      <c r="D40" s="14" t="inlineStr">
        <is>
          <t>Pricing Shifts</t>
        </is>
      </c>
      <c r="E40" s="13" t="inlineStr">
        <is>
          <t>R-39</t>
        </is>
      </c>
      <c r="F40" s="14" t="inlineStr">
        <is>
          <t>Per-Seat Startup Package</t>
        </is>
      </c>
      <c r="G40" s="14" t="inlineStr">
        <is>
          <t>N/A</t>
        </is>
      </c>
      <c r="H40" s="15" t="n">
        <v>7</v>
      </c>
      <c r="I40" s="14" t="inlineStr">
        <is>
          <t>SINGLE</t>
        </is>
      </c>
      <c r="J40" s="14" t="inlineStr">
        <is>
          <t>G_PRICING</t>
        </is>
      </c>
      <c r="K40" s="14" t="inlineStr">
        <is>
          <t>Yes</t>
        </is>
      </c>
      <c r="L40" s="14" t="inlineStr">
        <is>
          <t>per-seat pricing, Slack-first model, no long contracts, startup subscription package</t>
        </is>
      </c>
      <c r="M40" s="14" t="inlineStr">
        <is>
          <t>seat, startup, subscription</t>
        </is>
      </c>
      <c r="N40" s="14" t="inlineStr">
        <is>
          <t>Simple, flexible seat pricing targeting small teams.</t>
        </is>
      </c>
      <c r="O40" s="14" t="inlineStr">
        <is>
          <t>Assign 7 points if competitor starts per-seat pricing.</t>
        </is>
      </c>
    </row>
    <row r="41">
      <c r="A41" s="11" t="inlineStr">
        <is>
          <t>Strategic Intent (SI)</t>
        </is>
      </c>
      <c r="B41" s="11" t="inlineStr">
        <is>
          <t>SI</t>
        </is>
      </c>
      <c r="C41" s="12" t="inlineStr">
        <is>
          <t>Strategic Context</t>
        </is>
      </c>
      <c r="D41" s="12" t="inlineStr">
        <is>
          <t>Pricing Shifts</t>
        </is>
      </c>
      <c r="E41" s="11" t="inlineStr">
        <is>
          <t>R-40</t>
        </is>
      </c>
      <c r="F41" s="12" t="inlineStr">
        <is>
          <t>Freemium Model Launch</t>
        </is>
      </c>
      <c r="G41" s="12" t="inlineStr">
        <is>
          <t>N/A</t>
        </is>
      </c>
      <c r="H41" s="16" t="n">
        <v>8</v>
      </c>
      <c r="I41" s="12" t="inlineStr">
        <is>
          <t>SINGLE</t>
        </is>
      </c>
      <c r="J41" s="12" t="inlineStr">
        <is>
          <t>G_PRICING</t>
        </is>
      </c>
      <c r="K41" s="12" t="inlineStr">
        <is>
          <t>Yes</t>
        </is>
      </c>
      <c r="L41" s="12" t="inlineStr">
        <is>
          <t>free tier launch, freemium access, free signup, zero cost starter, free usage limits</t>
        </is>
      </c>
      <c r="M41" s="12" t="inlineStr">
        <is>
          <t>free, freemium, tier</t>
        </is>
      </c>
      <c r="N41" s="12" t="inlineStr">
        <is>
          <t>Free usage tier introduced to drive growth.</t>
        </is>
      </c>
      <c r="O41" s="12" t="inlineStr">
        <is>
          <t>Assign 8 points if competitor launches a freemium model.</t>
        </is>
      </c>
    </row>
    <row r="42">
      <c r="A42" s="13" t="inlineStr">
        <is>
          <t>Strategic Intent (SI)</t>
        </is>
      </c>
      <c r="B42" s="13" t="inlineStr">
        <is>
          <t>SI</t>
        </is>
      </c>
      <c r="C42" s="14" t="inlineStr">
        <is>
          <t>Strategic Context</t>
        </is>
      </c>
      <c r="D42" s="14" t="inlineStr">
        <is>
          <t>Pricing Shifts</t>
        </is>
      </c>
      <c r="E42" s="13" t="inlineStr">
        <is>
          <t>R-41</t>
        </is>
      </c>
      <c r="F42" s="14" t="inlineStr">
        <is>
          <t>Contract Length Changes</t>
        </is>
      </c>
      <c r="G42" s="14" t="inlineStr">
        <is>
          <t>N/A</t>
        </is>
      </c>
      <c r="H42" s="15" t="n">
        <v>5</v>
      </c>
      <c r="I42" s="14" t="inlineStr">
        <is>
          <t>SINGLE</t>
        </is>
      </c>
      <c r="J42" s="14" t="inlineStr">
        <is>
          <t>G_PRICING</t>
        </is>
      </c>
      <c r="K42" s="14" t="inlineStr">
        <is>
          <t>Yes</t>
        </is>
      </c>
      <c r="L42" s="14" t="inlineStr">
        <is>
          <t>annual lock-in, monthly subscription flexibility, multi-year deal, cancellation terms update</t>
        </is>
      </c>
      <c r="M42" s="14" t="inlineStr">
        <is>
          <t>contract, terms, length</t>
        </is>
      </c>
      <c r="N42" s="14" t="inlineStr">
        <is>
          <t>Shifting from annual to monthly or multi-year terms.</t>
        </is>
      </c>
      <c r="O42" s="14" t="inlineStr">
        <is>
          <t>Assign 5 points if contract requirements change.</t>
        </is>
      </c>
    </row>
    <row r="43">
      <c r="A43" s="11" t="inlineStr">
        <is>
          <t>Strategic Intent (SI)</t>
        </is>
      </c>
      <c r="B43" s="11" t="inlineStr">
        <is>
          <t>SI</t>
        </is>
      </c>
      <c r="C43" s="12" t="inlineStr">
        <is>
          <t>Strategic Context</t>
        </is>
      </c>
      <c r="D43" s="12" t="inlineStr">
        <is>
          <t>Narrative Stance</t>
        </is>
      </c>
      <c r="E43" s="11" t="inlineStr">
        <is>
          <t>R-42</t>
        </is>
      </c>
      <c r="F43" s="12" t="inlineStr">
        <is>
          <t>Autonomous Outcomes Narrative</t>
        </is>
      </c>
      <c r="G43" s="12" t="inlineStr">
        <is>
          <t>N/A</t>
        </is>
      </c>
      <c r="H43" s="16" t="n">
        <v>10</v>
      </c>
      <c r="I43" s="12" t="inlineStr">
        <is>
          <t>SINGLE</t>
        </is>
      </c>
      <c r="J43" s="12" t="inlineStr">
        <is>
          <t>G_NARRATIVE</t>
        </is>
      </c>
      <c r="K43" s="12" t="inlineStr">
        <is>
          <t>Yes</t>
        </is>
      </c>
      <c r="L43" s="12" t="inlineStr">
        <is>
          <t>We Do It For You, zero-touch travel, outcome ownership, stop managing trips, autopilot travel</t>
        </is>
      </c>
      <c r="M43" s="12" t="inlineStr">
        <is>
          <t>outcomes, zero-touch, autopilot</t>
        </is>
      </c>
      <c r="N43" s="12" t="inlineStr">
        <is>
          <t>Positioning around outcome ownership, not booking tools.</t>
        </is>
      </c>
      <c r="O43" s="12" t="inlineStr">
        <is>
          <t>Assign 10 points if narrative is autonomous outcomes.</t>
        </is>
      </c>
    </row>
    <row r="44">
      <c r="A44" s="13" t="inlineStr">
        <is>
          <t>Strategic Intent (SI)</t>
        </is>
      </c>
      <c r="B44" s="13" t="inlineStr">
        <is>
          <t>SI</t>
        </is>
      </c>
      <c r="C44" s="14" t="inlineStr">
        <is>
          <t>Strategic Context</t>
        </is>
      </c>
      <c r="D44" s="14" t="inlineStr">
        <is>
          <t>Narrative Stance</t>
        </is>
      </c>
      <c r="E44" s="13" t="inlineStr">
        <is>
          <t>R-43</t>
        </is>
      </c>
      <c r="F44" s="14" t="inlineStr">
        <is>
          <t>Traveler Joy / Experience</t>
        </is>
      </c>
      <c r="G44" s="14" t="inlineStr">
        <is>
          <t>N/A</t>
        </is>
      </c>
      <c r="H44" s="15" t="n">
        <v>6</v>
      </c>
      <c r="I44" s="14" t="inlineStr">
        <is>
          <t>SINGLE</t>
        </is>
      </c>
      <c r="J44" s="14" t="inlineStr">
        <is>
          <t>G_NARRATIVE</t>
        </is>
      </c>
      <c r="K44" s="14" t="inlineStr">
        <is>
          <t>Yes</t>
        </is>
      </c>
      <c r="L44" s="14" t="inlineStr">
        <is>
          <t>traveler joy, employee happiness, seamless booking experience, traveler experience, booking convenience</t>
        </is>
      </c>
      <c r="M44" s="14" t="inlineStr">
        <is>
          <t>joy, happiness, experience</t>
        </is>
      </c>
      <c r="N44" s="14" t="inlineStr">
        <is>
          <t>Focusing on employee happiness during travel booking.</t>
        </is>
      </c>
      <c r="O44" s="14" t="inlineStr">
        <is>
          <t>Assign 6 points if narrative is traveler joy.</t>
        </is>
      </c>
    </row>
    <row r="45">
      <c r="A45" s="11" t="inlineStr">
        <is>
          <t>Strategic Intent (SI)</t>
        </is>
      </c>
      <c r="B45" s="11" t="inlineStr">
        <is>
          <t>SI</t>
        </is>
      </c>
      <c r="C45" s="12" t="inlineStr">
        <is>
          <t>Strategic Context</t>
        </is>
      </c>
      <c r="D45" s="12" t="inlineStr">
        <is>
          <t>Narrative Stance</t>
        </is>
      </c>
      <c r="E45" s="11" t="inlineStr">
        <is>
          <t>R-44</t>
        </is>
      </c>
      <c r="F45" s="12" t="inlineStr">
        <is>
          <t>Compliance &amp; Cost Control</t>
        </is>
      </c>
      <c r="G45" s="12" t="inlineStr">
        <is>
          <t>N/A</t>
        </is>
      </c>
      <c r="H45" s="16" t="n">
        <v>8</v>
      </c>
      <c r="I45" s="12" t="inlineStr">
        <is>
          <t>SINGLE</t>
        </is>
      </c>
      <c r="J45" s="12" t="inlineStr">
        <is>
          <t>G_NARRATIVE</t>
        </is>
      </c>
      <c r="K45" s="12" t="inlineStr">
        <is>
          <t>Yes</t>
        </is>
      </c>
      <c r="L45" s="12" t="inlineStr">
        <is>
          <t>policy compliance, spend control policies, CFO financial tools, travel cost reduction, budget limits enforcement</t>
        </is>
      </c>
      <c r="M45" s="12" t="inlineStr">
        <is>
          <t>compliance, cost, budget</t>
        </is>
      </c>
      <c r="N45" s="12" t="inlineStr">
        <is>
          <t>Targeting CFO budget management.</t>
        </is>
      </c>
      <c r="O45" s="12" t="inlineStr">
        <is>
          <t>Assign 8 points if narrative is policy compliance/control.</t>
        </is>
      </c>
    </row>
    <row r="46">
      <c r="A46" s="13" t="inlineStr">
        <is>
          <t>Strategic Intent (SI)</t>
        </is>
      </c>
      <c r="B46" s="13" t="inlineStr">
        <is>
          <t>SI</t>
        </is>
      </c>
      <c r="C46" s="14" t="inlineStr">
        <is>
          <t>Strategic Context</t>
        </is>
      </c>
      <c r="D46" s="14" t="inlineStr">
        <is>
          <t>Narrative Stance</t>
        </is>
      </c>
      <c r="E46" s="13" t="inlineStr">
        <is>
          <t>R-45</t>
        </is>
      </c>
      <c r="F46" s="14" t="inlineStr">
        <is>
          <t>FinOps / Expense Efficiency</t>
        </is>
      </c>
      <c r="G46" s="14" t="inlineStr">
        <is>
          <t>N/A</t>
        </is>
      </c>
      <c r="H46" s="15" t="n">
        <v>7</v>
      </c>
      <c r="I46" s="14" t="inlineStr">
        <is>
          <t>SINGLE</t>
        </is>
      </c>
      <c r="J46" s="14" t="inlineStr">
        <is>
          <t>G_NARRATIVE</t>
        </is>
      </c>
      <c r="K46" s="14" t="inlineStr">
        <is>
          <t>Yes</t>
        </is>
      </c>
      <c r="L46" s="14" t="inlineStr">
        <is>
          <t>expense automation, receipt scan upload, invoice matching automation, finance efficiency, card controls</t>
        </is>
      </c>
      <c r="M46" s="14" t="inlineStr">
        <is>
          <t>expense, efficiency, cards</t>
        </is>
      </c>
      <c r="N46" s="14" t="inlineStr">
        <is>
          <t>Focusing on automating expense reporting.</t>
        </is>
      </c>
      <c r="O46" s="14" t="inlineStr">
        <is>
          <t>Assign 7 points if narrative is expense efficiency.</t>
        </is>
      </c>
    </row>
    <row r="47">
      <c r="A47" s="11" t="inlineStr">
        <is>
          <t>Execution Momentum (EM)</t>
        </is>
      </c>
      <c r="B47" s="11" t="inlineStr">
        <is>
          <t>EM</t>
        </is>
      </c>
      <c r="C47" s="12" t="inlineStr">
        <is>
          <t>Source &amp; Evidence</t>
        </is>
      </c>
      <c r="D47" s="12" t="inlineStr">
        <is>
          <t>Evidence Class</t>
        </is>
      </c>
      <c r="E47" s="11" t="inlineStr">
        <is>
          <t>R-46</t>
        </is>
      </c>
      <c r="F47" s="12" t="inlineStr">
        <is>
          <t>Primary Technical Evidence</t>
        </is>
      </c>
      <c r="G47" s="12" t="inlineStr">
        <is>
          <t>N/A</t>
        </is>
      </c>
      <c r="H47" s="16" t="n">
        <v>10</v>
      </c>
      <c r="I47" s="12" t="inlineStr">
        <is>
          <t>SINGLE</t>
        </is>
      </c>
      <c r="J47" s="12" t="inlineStr">
        <is>
          <t>G_EVIDENCE</t>
        </is>
      </c>
      <c r="K47" s="12" t="inlineStr">
        <is>
          <t>Yes</t>
        </is>
      </c>
      <c r="L47" s="12" t="inlineStr">
        <is>
          <t>active Meta ads, changelog release, API portal update, live pricing page changes</t>
        </is>
      </c>
      <c r="M47" s="12" t="inlineStr">
        <is>
          <t>ads, changelog, portal, live</t>
        </is>
      </c>
      <c r="N47" s="12" t="inlineStr">
        <is>
          <t>Verifiable directly from pricing page updates, changelogs, or active ads.</t>
        </is>
      </c>
      <c r="O47" s="12" t="inlineStr">
        <is>
          <t>Assign 10 points if primary source is verified.</t>
        </is>
      </c>
    </row>
    <row r="48">
      <c r="A48" s="13" t="inlineStr">
        <is>
          <t>Execution Momentum (EM)</t>
        </is>
      </c>
      <c r="B48" s="13" t="inlineStr">
        <is>
          <t>EM</t>
        </is>
      </c>
      <c r="C48" s="14" t="inlineStr">
        <is>
          <t>Source &amp; Evidence</t>
        </is>
      </c>
      <c r="D48" s="14" t="inlineStr">
        <is>
          <t>Evidence Class</t>
        </is>
      </c>
      <c r="E48" s="13" t="inlineStr">
        <is>
          <t>R-47</t>
        </is>
      </c>
      <c r="F48" s="14" t="inlineStr">
        <is>
          <t>Verified Pricing Snapshot</t>
        </is>
      </c>
      <c r="G48" s="14" t="inlineStr">
        <is>
          <t>N/A</t>
        </is>
      </c>
      <c r="H48" s="15" t="n">
        <v>8</v>
      </c>
      <c r="I48" s="14" t="inlineStr">
        <is>
          <t>SINGLE</t>
        </is>
      </c>
      <c r="J48" s="14" t="inlineStr">
        <is>
          <t>G_EVIDENCE</t>
        </is>
      </c>
      <c r="K48" s="14" t="inlineStr">
        <is>
          <t>Yes</t>
        </is>
      </c>
      <c r="L48" s="14" t="inlineStr">
        <is>
          <t>Pricing page scraped, pricing raise detected, archived pricing snapshot</t>
        </is>
      </c>
      <c r="M48" s="14" t="inlineStr">
        <is>
          <t>pricing, snapshot, scraped</t>
        </is>
      </c>
      <c r="N48" s="14" t="inlineStr">
        <is>
          <t>Scraped pricing change verified via screenshot/archive.</t>
        </is>
      </c>
      <c r="O48" s="14" t="inlineStr">
        <is>
          <t>Assign 8 points if pricing snapshot is captured.</t>
        </is>
      </c>
    </row>
    <row r="49">
      <c r="A49" s="11" t="inlineStr">
        <is>
          <t>Execution Momentum (EM)</t>
        </is>
      </c>
      <c r="B49" s="11" t="inlineStr">
        <is>
          <t>EM</t>
        </is>
      </c>
      <c r="C49" s="12" t="inlineStr">
        <is>
          <t>Source &amp; Evidence</t>
        </is>
      </c>
      <c r="D49" s="12" t="inlineStr">
        <is>
          <t>Evidence Class</t>
        </is>
      </c>
      <c r="E49" s="11" t="inlineStr">
        <is>
          <t>R-48</t>
        </is>
      </c>
      <c r="F49" s="12" t="inlineStr">
        <is>
          <t>Tier-1 Media Press</t>
        </is>
      </c>
      <c r="G49" s="12" t="inlineStr">
        <is>
          <t>N/A</t>
        </is>
      </c>
      <c r="H49" s="16" t="n">
        <v>7</v>
      </c>
      <c r="I49" s="12" t="inlineStr">
        <is>
          <t>SINGLE</t>
        </is>
      </c>
      <c r="J49" s="12" t="inlineStr">
        <is>
          <t>G_EVIDENCE</t>
        </is>
      </c>
      <c r="K49" s="12" t="inlineStr">
        <is>
          <t>Yes</t>
        </is>
      </c>
      <c r="L49" s="12" t="inlineStr">
        <is>
          <t>TechCrunch coverage, Reuters report, Bloomberg article, Financial Times publication, Wall Street Journal report, Barron's news, citybiz</t>
        </is>
      </c>
      <c r="M49" s="12" t="inlineStr">
        <is>
          <t>TechCrunch, Reuters, Bloomberg, WSJ, FT, Barron's, citybiz</t>
        </is>
      </c>
      <c r="N49" s="12" t="inlineStr">
        <is>
          <t>Journalistic reporting from trusted financial media.</t>
        </is>
      </c>
      <c r="O49" s="12" t="inlineStr">
        <is>
          <t>Assign 7 points if reported by Tier-1 publications.</t>
        </is>
      </c>
    </row>
    <row r="50">
      <c r="A50" s="13" t="inlineStr">
        <is>
          <t>Execution Momentum (EM)</t>
        </is>
      </c>
      <c r="B50" s="13" t="inlineStr">
        <is>
          <t>EM</t>
        </is>
      </c>
      <c r="C50" s="14" t="inlineStr">
        <is>
          <t>Source &amp; Evidence</t>
        </is>
      </c>
      <c r="D50" s="14" t="inlineStr">
        <is>
          <t>Evidence Class</t>
        </is>
      </c>
      <c r="E50" s="13" t="inlineStr">
        <is>
          <t>R-49</t>
        </is>
      </c>
      <c r="F50" s="14" t="inlineStr">
        <is>
          <t>Competitor Blog / PR Release</t>
        </is>
      </c>
      <c r="G50" s="14" t="inlineStr">
        <is>
          <t>N/A</t>
        </is>
      </c>
      <c r="H50" s="15" t="n">
        <v>4</v>
      </c>
      <c r="I50" s="14" t="inlineStr">
        <is>
          <t>SINGLE</t>
        </is>
      </c>
      <c r="J50" s="14" t="inlineStr">
        <is>
          <t>G_EVIDENCE</t>
        </is>
      </c>
      <c r="K50" s="14" t="inlineStr">
        <is>
          <t>Yes</t>
        </is>
      </c>
      <c r="L50" s="14" t="inlineStr">
        <is>
          <t>company blog post, official press release, corporate newsletter, self-published announcement</t>
        </is>
      </c>
      <c r="M50" s="14" t="inlineStr">
        <is>
          <t>blog, release, newsletter</t>
        </is>
      </c>
      <c r="N50" s="14" t="inlineStr">
        <is>
          <t>Self-promotional content published on competitor channels.</t>
        </is>
      </c>
      <c r="O50" s="14" t="inlineStr">
        <is>
          <t>Assign 4 points if published on competitor blogs/press releases.</t>
        </is>
      </c>
    </row>
    <row r="51">
      <c r="A51" s="11" t="inlineStr">
        <is>
          <t>Execution Momentum (EM)</t>
        </is>
      </c>
      <c r="B51" s="11" t="inlineStr">
        <is>
          <t>EM</t>
        </is>
      </c>
      <c r="C51" s="12" t="inlineStr">
        <is>
          <t>Resource Backing</t>
        </is>
      </c>
      <c r="D51" s="12" t="inlineStr">
        <is>
          <t>Funding Strength</t>
        </is>
      </c>
      <c r="E51" s="11" t="inlineStr">
        <is>
          <t>R-50</t>
        </is>
      </c>
      <c r="F51" s="12" t="inlineStr">
        <is>
          <t>Heavy Capital / Mega M&amp;A</t>
        </is>
      </c>
      <c r="G51" s="12" t="inlineStr">
        <is>
          <t>N/A</t>
        </is>
      </c>
      <c r="H51" s="16" t="n">
        <v>10</v>
      </c>
      <c r="I51" s="12" t="inlineStr">
        <is>
          <t>SINGLE</t>
        </is>
      </c>
      <c r="J51" s="12" t="inlineStr">
        <is>
          <t>G_FUND_STRENGTH</t>
        </is>
      </c>
      <c r="K51" s="12" t="inlineStr">
        <is>
          <t>Yes</t>
        </is>
      </c>
      <c r="L51" s="12" t="inlineStr">
        <is>
          <t>raised $200M, acquired Egencia portfolio, Series C venture backing, massive Sequoia round, acquired CWT, Series E funding, Smartrips acquisition</t>
        </is>
      </c>
      <c r="M51" s="12" t="inlineStr">
        <is>
          <t>$100M, $200M, acquisition, Egencia, CWT, Smartrips</t>
        </is>
      </c>
      <c r="N51" s="12" t="inlineStr">
        <is>
          <t>Massive capital backing or acquisition scale.</t>
        </is>
      </c>
      <c r="O51" s="12" t="inlineStr">
        <is>
          <t>Assign 10 points if round/deal is &gt; $50M.</t>
        </is>
      </c>
    </row>
    <row r="52">
      <c r="A52" s="13" t="inlineStr">
        <is>
          <t>Execution Momentum (EM)</t>
        </is>
      </c>
      <c r="B52" s="13" t="inlineStr">
        <is>
          <t>EM</t>
        </is>
      </c>
      <c r="C52" s="14" t="inlineStr">
        <is>
          <t>Resource Backing</t>
        </is>
      </c>
      <c r="D52" s="14" t="inlineStr">
        <is>
          <t>Funding Strength</t>
        </is>
      </c>
      <c r="E52" s="13" t="inlineStr">
        <is>
          <t>R-51</t>
        </is>
      </c>
      <c r="F52" s="14" t="inlineStr">
        <is>
          <t>Moderate Funding / Series A</t>
        </is>
      </c>
      <c r="G52" s="14" t="inlineStr">
        <is>
          <t>N/A</t>
        </is>
      </c>
      <c r="H52" s="15" t="n">
        <v>7</v>
      </c>
      <c r="I52" s="14" t="inlineStr">
        <is>
          <t>SINGLE</t>
        </is>
      </c>
      <c r="J52" s="14" t="inlineStr">
        <is>
          <t>G_FUND_STRENGTH</t>
        </is>
      </c>
      <c r="K52" s="14" t="inlineStr">
        <is>
          <t>Yes</t>
        </is>
      </c>
      <c r="L52" s="14" t="inlineStr">
        <is>
          <t>raised $18M Series A, Series A round capital, mid-market funding round</t>
        </is>
      </c>
      <c r="M52" s="14" t="inlineStr">
        <is>
          <t>Series A, Series B, funding</t>
        </is>
      </c>
      <c r="N52" s="14" t="inlineStr">
        <is>
          <t>Mid-scale venture round backing.</t>
        </is>
      </c>
      <c r="O52" s="14" t="inlineStr">
        <is>
          <t>Assign 7 points if round is $10M - $50M.</t>
        </is>
      </c>
    </row>
    <row r="53">
      <c r="A53" s="11" t="inlineStr">
        <is>
          <t>Execution Momentum (EM)</t>
        </is>
      </c>
      <c r="B53" s="11" t="inlineStr">
        <is>
          <t>EM</t>
        </is>
      </c>
      <c r="C53" s="12" t="inlineStr">
        <is>
          <t>Resource Backing</t>
        </is>
      </c>
      <c r="D53" s="12" t="inlineStr">
        <is>
          <t>Funding Strength</t>
        </is>
      </c>
      <c r="E53" s="11" t="inlineStr">
        <is>
          <t>R-52</t>
        </is>
      </c>
      <c r="F53" s="12" t="inlineStr">
        <is>
          <t>Seed Funding</t>
        </is>
      </c>
      <c r="G53" s="12" t="inlineStr">
        <is>
          <t>N/A</t>
        </is>
      </c>
      <c r="H53" s="16" t="n">
        <v>5</v>
      </c>
      <c r="I53" s="12" t="inlineStr">
        <is>
          <t>SINGLE</t>
        </is>
      </c>
      <c r="J53" s="12" t="inlineStr">
        <is>
          <t>G_FUND_STRENGTH</t>
        </is>
      </c>
      <c r="K53" s="12" t="inlineStr">
        <is>
          <t>Yes</t>
        </is>
      </c>
      <c r="L53" s="12" t="inlineStr">
        <is>
          <t>raised $4.2M seed, seed round financing, pre-seed capital, angel round funding</t>
        </is>
      </c>
      <c r="M53" s="12" t="inlineStr">
        <is>
          <t>seed, pre-seed, angel</t>
        </is>
      </c>
      <c r="N53" s="12" t="inlineStr">
        <is>
          <t>Early-stage seed validation.</t>
        </is>
      </c>
      <c r="O53" s="12" t="inlineStr">
        <is>
          <t>Assign 5 points if round is &lt; $10M.</t>
        </is>
      </c>
    </row>
    <row r="54">
      <c r="A54" s="13" t="inlineStr">
        <is>
          <t>Execution Momentum (EM)</t>
        </is>
      </c>
      <c r="B54" s="13" t="inlineStr">
        <is>
          <t>EM</t>
        </is>
      </c>
      <c r="C54" s="14" t="inlineStr">
        <is>
          <t>Resource Backing</t>
        </is>
      </c>
      <c r="D54" s="14" t="inlineStr">
        <is>
          <t>Funding Strength</t>
        </is>
      </c>
      <c r="E54" s="13" t="inlineStr">
        <is>
          <t>R-53</t>
        </is>
      </c>
      <c r="F54" s="14" t="inlineStr">
        <is>
          <t>Bootstrapped / Organic</t>
        </is>
      </c>
      <c r="G54" s="14" t="inlineStr">
        <is>
          <t>N/A</t>
        </is>
      </c>
      <c r="H54" s="15" t="n">
        <v>3</v>
      </c>
      <c r="I54" s="14" t="inlineStr">
        <is>
          <t>SINGLE</t>
        </is>
      </c>
      <c r="J54" s="14" t="inlineStr">
        <is>
          <t>G_FUND_STRENGTH</t>
        </is>
      </c>
      <c r="K54" s="14" t="inlineStr">
        <is>
          <t>Yes</t>
        </is>
      </c>
      <c r="L54" s="14" t="inlineStr">
        <is>
          <t>internal resource allocation, bootstrapped travel startup, organic budget allocation, zero venture capital</t>
        </is>
      </c>
      <c r="M54" s="14" t="inlineStr">
        <is>
          <t>bootstrapped, organic, internal</t>
        </is>
      </c>
      <c r="N54" s="14" t="inlineStr">
        <is>
          <t>No new capital introduced.</t>
        </is>
      </c>
      <c r="O54" s="14" t="inlineStr">
        <is>
          <t>Assign 3 points if no external funding is mentioned.</t>
        </is>
      </c>
    </row>
    <row r="55">
      <c r="A55" s="11" t="inlineStr">
        <is>
          <t>Execution Momentum (EM)</t>
        </is>
      </c>
      <c r="B55" s="11" t="inlineStr">
        <is>
          <t>EM</t>
        </is>
      </c>
      <c r="C55" s="12" t="inlineStr">
        <is>
          <t>Market Validation</t>
        </is>
      </c>
      <c r="D55" s="12" t="inlineStr">
        <is>
          <t>Community Traction</t>
        </is>
      </c>
      <c r="E55" s="11" t="inlineStr">
        <is>
          <t>R-54</t>
        </is>
      </c>
      <c r="F55" s="12" t="inlineStr">
        <is>
          <t>HN / Product Hunt #1</t>
        </is>
      </c>
      <c r="G55" s="12" t="inlineStr">
        <is>
          <t>N/A</t>
        </is>
      </c>
      <c r="H55" s="16" t="n">
        <v>10</v>
      </c>
      <c r="I55" s="12" t="inlineStr">
        <is>
          <t>SINGLE</t>
        </is>
      </c>
      <c r="J55" s="12" t="inlineStr">
        <is>
          <t>G_MARKET_TRACTION</t>
        </is>
      </c>
      <c r="K55" s="12" t="inlineStr">
        <is>
          <t>Yes</t>
        </is>
      </c>
      <c r="L55" s="12" t="inlineStr">
        <is>
          <t>Hacker News launch, Product Hunt #1, featured on Product Hunt, HN top page</t>
        </is>
      </c>
      <c r="M55" s="12" t="inlineStr">
        <is>
          <t>Product Hunt, HN, Hacker News</t>
        </is>
      </c>
      <c r="N55" s="12" t="inlineStr">
        <is>
          <t>Highly viral launch verified by developer community.</t>
        </is>
      </c>
      <c r="O55" s="12" t="inlineStr">
        <is>
          <t>Assign 10 points if Product Hunt #1 or HN front page is matched.</t>
        </is>
      </c>
    </row>
    <row r="56">
      <c r="A56" s="13" t="inlineStr">
        <is>
          <t>Execution Momentum (EM)</t>
        </is>
      </c>
      <c r="B56" s="13" t="inlineStr">
        <is>
          <t>EM</t>
        </is>
      </c>
      <c r="C56" s="14" t="inlineStr">
        <is>
          <t>Market Validation</t>
        </is>
      </c>
      <c r="D56" s="14" t="inlineStr">
        <is>
          <t>Community Traction</t>
        </is>
      </c>
      <c r="E56" s="13" t="inlineStr">
        <is>
          <t>R-55</t>
        </is>
      </c>
      <c r="F56" s="14" t="inlineStr">
        <is>
          <t>Reddit / G2 Viral Backlash</t>
        </is>
      </c>
      <c r="G56" s="14" t="inlineStr">
        <is>
          <t>N/A</t>
        </is>
      </c>
      <c r="H56" s="15" t="n">
        <v>8</v>
      </c>
      <c r="I56" s="14" t="inlineStr">
        <is>
          <t>SINGLE</t>
        </is>
      </c>
      <c r="J56" s="14" t="inlineStr">
        <is>
          <t>G_MARKET_TRACTION</t>
        </is>
      </c>
      <c r="K56" s="14" t="inlineStr">
        <is>
          <t>Yes</t>
        </is>
      </c>
      <c r="L56" s="14" t="inlineStr">
        <is>
          <t>r/sap corporate backlash, negative G2 reviews, Reddit complaints, customer outcry, user backlash</t>
        </is>
      </c>
      <c r="M56" s="14" t="inlineStr">
        <is>
          <t>Reddit, complaints, backlash, G2</t>
        </is>
      </c>
      <c r="N56" s="14" t="inlineStr">
        <is>
          <t>Negative user sentiment spikes on public forums.</t>
        </is>
      </c>
      <c r="O56" s="14" t="inlineStr">
        <is>
          <t>Assign 8 points if customer backlash is verified on forums/reviews.</t>
        </is>
      </c>
    </row>
    <row r="57">
      <c r="A57" s="11" t="inlineStr">
        <is>
          <t>Execution Momentum (EM)</t>
        </is>
      </c>
      <c r="B57" s="11" t="inlineStr">
        <is>
          <t>EM</t>
        </is>
      </c>
      <c r="C57" s="12" t="inlineStr">
        <is>
          <t>Market Validation</t>
        </is>
      </c>
      <c r="D57" s="12" t="inlineStr">
        <is>
          <t>Community Traction</t>
        </is>
      </c>
      <c r="E57" s="11" t="inlineStr">
        <is>
          <t>R-56</t>
        </is>
      </c>
      <c r="F57" s="12" t="inlineStr">
        <is>
          <t>GitHub Star / Dev Spike</t>
        </is>
      </c>
      <c r="G57" s="12" t="inlineStr">
        <is>
          <t>N/A</t>
        </is>
      </c>
      <c r="H57" s="16" t="n">
        <v>6</v>
      </c>
      <c r="I57" s="12" t="inlineStr">
        <is>
          <t>SINGLE</t>
        </is>
      </c>
      <c r="J57" s="12" t="inlineStr">
        <is>
          <t>G_MARKET_TRACTION</t>
        </is>
      </c>
      <c r="K57" s="12" t="inlineStr">
        <is>
          <t>Yes</t>
        </is>
      </c>
      <c r="L57" s="12" t="inlineStr">
        <is>
          <t>GitHub stars count, trending GitHub repository, open-source repository active, developer star spike</t>
        </is>
      </c>
      <c r="M57" s="12" t="inlineStr">
        <is>
          <t>GitHub, repository, developer, stars</t>
        </is>
      </c>
      <c r="N57" s="12" t="inlineStr">
        <is>
          <t>Spike in repository star/dev activity in GitHub.</t>
        </is>
      </c>
      <c r="O57" s="12" t="inlineStr">
        <is>
          <t>Assign 6 points if repo shows active developer interest.</t>
        </is>
      </c>
    </row>
    <row r="58">
      <c r="A58" s="13" t="inlineStr">
        <is>
          <t>Execution Momentum (EM)</t>
        </is>
      </c>
      <c r="B58" s="13" t="inlineStr">
        <is>
          <t>EM</t>
        </is>
      </c>
      <c r="C58" s="14" t="inlineStr">
        <is>
          <t>Market Validation</t>
        </is>
      </c>
      <c r="D58" s="14" t="inlineStr">
        <is>
          <t>Community Traction</t>
        </is>
      </c>
      <c r="E58" s="13" t="inlineStr">
        <is>
          <t>R-57</t>
        </is>
      </c>
      <c r="F58" s="14" t="inlineStr">
        <is>
          <t>Low Public Engagement</t>
        </is>
      </c>
      <c r="G58" s="14" t="inlineStr">
        <is>
          <t>N/A</t>
        </is>
      </c>
      <c r="H58" s="15" t="n">
        <v>2</v>
      </c>
      <c r="I58" s="14" t="inlineStr">
        <is>
          <t>SINGLE</t>
        </is>
      </c>
      <c r="J58" s="14" t="inlineStr">
        <is>
          <t>G_MARKET_TRACTION</t>
        </is>
      </c>
      <c r="K58" s="14" t="inlineStr">
        <is>
          <t>Yes</t>
        </is>
      </c>
      <c r="L58" s="14" t="inlineStr">
        <is>
          <t>zero comments online, no social shares, zero likes, unquantifiable engagement metrics, citybiz readers, low engagement</t>
        </is>
      </c>
      <c r="M58" s="14" t="inlineStr">
        <is>
          <t>low, engagement, none</t>
        </is>
      </c>
      <c r="N58" s="14" t="inlineStr">
        <is>
          <t>Zero public response or social interactions.</t>
        </is>
      </c>
      <c r="O58" s="14" t="inlineStr">
        <is>
          <t>Assign 2 points if the move receives no public traction.</t>
        </is>
      </c>
    </row>
    <row r="59">
      <c r="A59" s="11" t="inlineStr">
        <is>
          <t>Execution Momentum (EM)</t>
        </is>
      </c>
      <c r="B59" s="11" t="inlineStr">
        <is>
          <t>EM</t>
        </is>
      </c>
      <c r="C59" s="12" t="inlineStr">
        <is>
          <t>Ad Volume</t>
        </is>
      </c>
      <c r="D59" s="12" t="inlineStr">
        <is>
          <t>Ad Volume Scale</t>
        </is>
      </c>
      <c r="E59" s="11" t="inlineStr">
        <is>
          <t>R-58</t>
        </is>
      </c>
      <c r="F59" s="12" t="inlineStr">
        <is>
          <t>High Ad Volume</t>
        </is>
      </c>
      <c r="G59" s="12" t="inlineStr">
        <is>
          <t>N/A</t>
        </is>
      </c>
      <c r="H59" s="16" t="n">
        <v>10</v>
      </c>
      <c r="I59" s="12" t="inlineStr">
        <is>
          <t>SINGLE</t>
        </is>
      </c>
      <c r="J59" s="12" t="inlineStr">
        <is>
          <t>G_AD_VOLUME</t>
        </is>
      </c>
      <c r="K59" s="12" t="inlineStr">
        <is>
          <t>Yes</t>
        </is>
      </c>
      <c r="L59" s="12" t="inlineStr">
        <is>
          <t>10+ active ads, ad volume increase, massive ad campaign creatives</t>
        </is>
      </c>
      <c r="M59" s="12" t="inlineStr">
        <is>
          <t>10+ ads, high volume</t>
        </is>
      </c>
      <c r="N59" s="12" t="inlineStr">
        <is>
          <t>Massive advertising campaign push.</t>
        </is>
      </c>
      <c r="O59" s="12" t="inlineStr">
        <is>
          <t>Assign 10 points if Meta Ad Library show 10+ active creatives.</t>
        </is>
      </c>
    </row>
    <row r="60">
      <c r="A60" s="13" t="inlineStr">
        <is>
          <t>Execution Momentum (EM)</t>
        </is>
      </c>
      <c r="B60" s="13" t="inlineStr">
        <is>
          <t>EM</t>
        </is>
      </c>
      <c r="C60" s="14" t="inlineStr">
        <is>
          <t>Ad Volume</t>
        </is>
      </c>
      <c r="D60" s="14" t="inlineStr">
        <is>
          <t>Ad Volume Scale</t>
        </is>
      </c>
      <c r="E60" s="13" t="inlineStr">
        <is>
          <t>R-59</t>
        </is>
      </c>
      <c r="F60" s="14" t="inlineStr">
        <is>
          <t>Medium Ad Volume</t>
        </is>
      </c>
      <c r="G60" s="14" t="inlineStr">
        <is>
          <t>N/A</t>
        </is>
      </c>
      <c r="H60" s="15" t="n">
        <v>6</v>
      </c>
      <c r="I60" s="14" t="inlineStr">
        <is>
          <t>SINGLE</t>
        </is>
      </c>
      <c r="J60" s="14" t="inlineStr">
        <is>
          <t>G_AD_VOLUME</t>
        </is>
      </c>
      <c r="K60" s="14" t="inlineStr">
        <is>
          <t>Yes</t>
        </is>
      </c>
      <c r="L60" s="14" t="inlineStr">
        <is>
          <t>active ads running, 2-9 ads active, moderate ad campaign volume</t>
        </is>
      </c>
      <c r="M60" s="14" t="inlineStr">
        <is>
          <t>2-9 ads, medium volume</t>
        </is>
      </c>
      <c r="N60" s="14" t="inlineStr">
        <is>
          <t>Moderate advertising campaign push.</t>
        </is>
      </c>
      <c r="O60" s="14" t="inlineStr">
        <is>
          <t>Assign 6 points if Meta Ad Library show 2-9 active creatives.</t>
        </is>
      </c>
    </row>
    <row r="61">
      <c r="A61" s="11" t="inlineStr">
        <is>
          <t>Execution Momentum (EM)</t>
        </is>
      </c>
      <c r="B61" s="11" t="inlineStr">
        <is>
          <t>EM</t>
        </is>
      </c>
      <c r="C61" s="12" t="inlineStr">
        <is>
          <t>Ad Volume</t>
        </is>
      </c>
      <c r="D61" s="12" t="inlineStr">
        <is>
          <t>Ad Volume Scale</t>
        </is>
      </c>
      <c r="E61" s="11" t="inlineStr">
        <is>
          <t>R-60</t>
        </is>
      </c>
      <c r="F61" s="12" t="inlineStr">
        <is>
          <t>Low Ad Volume</t>
        </is>
      </c>
      <c r="G61" s="12" t="inlineStr">
        <is>
          <t>N/A</t>
        </is>
      </c>
      <c r="H61" s="16" t="n">
        <v>2</v>
      </c>
      <c r="I61" s="12" t="inlineStr">
        <is>
          <t>SINGLE</t>
        </is>
      </c>
      <c r="J61" s="12" t="inlineStr">
        <is>
          <t>G_AD_VOLUME</t>
        </is>
      </c>
      <c r="K61" s="12" t="inlineStr">
        <is>
          <t>Yes</t>
        </is>
      </c>
      <c r="L61" s="12" t="inlineStr">
        <is>
          <t>1 single active ad, testing campaign ad, single ad creative</t>
        </is>
      </c>
      <c r="M61" s="12" t="inlineStr">
        <is>
          <t>1 ad, low volume</t>
        </is>
      </c>
      <c r="N61" s="12" t="inlineStr">
        <is>
          <t>Testing or pilot campaign.</t>
        </is>
      </c>
      <c r="O61" s="12" t="inlineStr">
        <is>
          <t>Assign 2 points if Meta Ad Library shows 1 active creative.</t>
        </is>
      </c>
    </row>
    <row r="62">
      <c r="A62" s="13" t="inlineStr">
        <is>
          <t>Execution Momentum (EM)</t>
        </is>
      </c>
      <c r="B62" s="13" t="inlineStr">
        <is>
          <t>EM</t>
        </is>
      </c>
      <c r="C62" s="14" t="inlineStr">
        <is>
          <t>Archetype Drivers</t>
        </is>
      </c>
      <c r="D62" s="14" t="inlineStr">
        <is>
          <t>AI Investment</t>
        </is>
      </c>
      <c r="E62" s="13" t="inlineStr">
        <is>
          <t>R-61</t>
        </is>
      </c>
      <c r="F62" s="14" t="inlineStr">
        <is>
          <t>AI Leadership Hire</t>
        </is>
      </c>
      <c r="G62" s="14" t="inlineStr">
        <is>
          <t>N/A</t>
        </is>
      </c>
      <c r="H62" s="15" t="n">
        <v>10</v>
      </c>
      <c r="I62" s="14" t="inlineStr">
        <is>
          <t>MULTI</t>
        </is>
      </c>
      <c r="J62" s="14" t="inlineStr">
        <is>
          <t>G_ARCH_AI_INVEST</t>
        </is>
      </c>
      <c r="K62" s="14" t="inlineStr">
        <is>
          <t>No</t>
        </is>
      </c>
      <c r="L62" s="14" t="inlineStr">
        <is>
          <t>Sarah Chen hired, VP AI role, Head of AI Products, ex-Google DeepMind VP, ex-OpenAI engineer</t>
        </is>
      </c>
      <c r="M62" s="14" t="inlineStr">
        <is>
          <t>AI hire, VP AI</t>
        </is>
      </c>
      <c r="N62" s="14" t="inlineStr">
        <is>
          <t>Key executive hire specializing in AI.</t>
        </is>
      </c>
      <c r="O62" s="14" t="inlineStr">
        <is>
          <t>Involved in AI Investment: adds +10 to archetype score.</t>
        </is>
      </c>
    </row>
    <row r="63">
      <c r="A63" s="11" t="inlineStr">
        <is>
          <t>Execution Momentum (EM)</t>
        </is>
      </c>
      <c r="B63" s="11" t="inlineStr">
        <is>
          <t>EM</t>
        </is>
      </c>
      <c r="C63" s="12" t="inlineStr">
        <is>
          <t>Archetype Drivers</t>
        </is>
      </c>
      <c r="D63" s="12" t="inlineStr">
        <is>
          <t>AI Investment</t>
        </is>
      </c>
      <c r="E63" s="11" t="inlineStr">
        <is>
          <t>R-62</t>
        </is>
      </c>
      <c r="F63" s="12" t="inlineStr">
        <is>
          <t>AI Hiring Spike</t>
        </is>
      </c>
      <c r="G63" s="12" t="inlineStr">
        <is>
          <t>N/A</t>
        </is>
      </c>
      <c r="H63" s="16" t="n">
        <v>8</v>
      </c>
      <c r="I63" s="12" t="inlineStr">
        <is>
          <t>MULTI</t>
        </is>
      </c>
      <c r="J63" s="12" t="inlineStr">
        <is>
          <t>G_ARCH_AI_INVEST</t>
        </is>
      </c>
      <c r="K63" s="12" t="inlineStr">
        <is>
          <t>No</t>
        </is>
      </c>
      <c r="L63" s="12" t="inlineStr">
        <is>
          <t>ML Engineering roles, hiring AI researchers, python developer hiring spike, NLP engineers wanted</t>
        </is>
      </c>
      <c r="M63" s="12" t="inlineStr">
        <is>
          <t>AI roles, ML hiring</t>
        </is>
      </c>
      <c r="N63" s="12" t="inlineStr">
        <is>
          <t>Focused hiring in AI/ML teams.</t>
        </is>
      </c>
      <c r="O63" s="12" t="inlineStr">
        <is>
          <t>Involved in AI Investment: adds +8 to archetype score.</t>
        </is>
      </c>
    </row>
    <row r="64">
      <c r="A64" s="13" t="inlineStr">
        <is>
          <t>Execution Momentum (EM)</t>
        </is>
      </c>
      <c r="B64" s="13" t="inlineStr">
        <is>
          <t>EM</t>
        </is>
      </c>
      <c r="C64" s="14" t="inlineStr">
        <is>
          <t>Archetype Drivers</t>
        </is>
      </c>
      <c r="D64" s="14" t="inlineStr">
        <is>
          <t>AI Investment</t>
        </is>
      </c>
      <c r="E64" s="13" t="inlineStr">
        <is>
          <t>R-63</t>
        </is>
      </c>
      <c r="F64" s="14" t="inlineStr">
        <is>
          <t>AI Agent/Platform Release</t>
        </is>
      </c>
      <c r="G64" s="14" t="inlineStr">
        <is>
          <t>N/A</t>
        </is>
      </c>
      <c r="H64" s="15" t="n">
        <v>12</v>
      </c>
      <c r="I64" s="14" t="inlineStr">
        <is>
          <t>MULTI</t>
        </is>
      </c>
      <c r="J64" s="14" t="inlineStr">
        <is>
          <t>G_ARCH_AI_INVEST</t>
        </is>
      </c>
      <c r="K64" s="14" t="inlineStr">
        <is>
          <t>No</t>
        </is>
      </c>
      <c r="L64" s="14" t="inlineStr">
        <is>
          <t>AI Concierge release, autonomous booking launch, search-to-book agent, zero-touch assistant, Navan Edge app</t>
        </is>
      </c>
      <c r="M64" s="14" t="inlineStr">
        <is>
          <t>AI agent, Navan Edge</t>
        </is>
      </c>
      <c r="N64" s="14" t="inlineStr">
        <is>
          <t>Introducing autonomous agent product.</t>
        </is>
      </c>
      <c r="O64" s="14" t="inlineStr">
        <is>
          <t>Involved in AI Investment: adds +12 to archetype score.</t>
        </is>
      </c>
    </row>
    <row r="65">
      <c r="A65" s="11" t="inlineStr">
        <is>
          <t>Execution Momentum (EM)</t>
        </is>
      </c>
      <c r="B65" s="11" t="inlineStr">
        <is>
          <t>EM</t>
        </is>
      </c>
      <c r="C65" s="12" t="inlineStr">
        <is>
          <t>Archetype Drivers</t>
        </is>
      </c>
      <c r="D65" s="12" t="inlineStr">
        <is>
          <t>Growth &amp; Expansion</t>
        </is>
      </c>
      <c r="E65" s="11" t="inlineStr">
        <is>
          <t>R-64</t>
        </is>
      </c>
      <c r="F65" s="12" t="inlineStr">
        <is>
          <t>Massive Series C/D/E Funding</t>
        </is>
      </c>
      <c r="G65" s="12" t="inlineStr">
        <is>
          <t>N/A</t>
        </is>
      </c>
      <c r="H65" s="16" t="n">
        <v>10</v>
      </c>
      <c r="I65" s="12" t="inlineStr">
        <is>
          <t>MULTI</t>
        </is>
      </c>
      <c r="J65" s="12" t="inlineStr">
        <is>
          <t>G_ARCH_GROWTH</t>
        </is>
      </c>
      <c r="K65" s="12" t="inlineStr">
        <is>
          <t>No</t>
        </is>
      </c>
      <c r="L65" s="12" t="inlineStr">
        <is>
          <t>Series D funding, Series E funding, raised $200M, Sequoia led round, Atomico led round, EQT Growth</t>
        </is>
      </c>
      <c r="M65" s="12" t="inlineStr">
        <is>
          <t>funding, Series D, Series E</t>
        </is>
      </c>
      <c r="N65" s="12" t="inlineStr">
        <is>
          <t>Large capital round raised for scaling.</t>
        </is>
      </c>
      <c r="O65" s="12" t="inlineStr">
        <is>
          <t>Involved in Growth &amp; Expansion: adds +10 to archetype score.</t>
        </is>
      </c>
    </row>
    <row r="66">
      <c r="A66" s="13" t="inlineStr">
        <is>
          <t>Execution Momentum (EM)</t>
        </is>
      </c>
      <c r="B66" s="13" t="inlineStr">
        <is>
          <t>EM</t>
        </is>
      </c>
      <c r="C66" s="14" t="inlineStr">
        <is>
          <t>Archetype Drivers</t>
        </is>
      </c>
      <c r="D66" s="14" t="inlineStr">
        <is>
          <t>Growth &amp; Expansion</t>
        </is>
      </c>
      <c r="E66" s="13" t="inlineStr">
        <is>
          <t>R-65</t>
        </is>
      </c>
      <c r="F66" s="14" t="inlineStr">
        <is>
          <t>New Geographic Office</t>
        </is>
      </c>
      <c r="G66" s="14" t="inlineStr">
        <is>
          <t>N/A</t>
        </is>
      </c>
      <c r="H66" s="15" t="n">
        <v>8</v>
      </c>
      <c r="I66" s="14" t="inlineStr">
        <is>
          <t>MULTI</t>
        </is>
      </c>
      <c r="J66" s="14" t="inlineStr">
        <is>
          <t>G_ARCH_GROWTH</t>
        </is>
      </c>
      <c r="K66" s="14" t="inlineStr">
        <is>
          <t>No</t>
        </is>
      </c>
      <c r="L66" s="14" t="inlineStr">
        <is>
          <t>Germany office launch, France expansion branch, London headquarters, Singapore regional office</t>
        </is>
      </c>
      <c r="M66" s="14" t="inlineStr">
        <is>
          <t>office, geographic</t>
        </is>
      </c>
      <c r="N66" s="14" t="inlineStr">
        <is>
          <t>Physical geographic expansion.</t>
        </is>
      </c>
      <c r="O66" s="14" t="inlineStr">
        <is>
          <t>Involved in Growth &amp; Expansion: adds +8 to archetype score.</t>
        </is>
      </c>
    </row>
    <row r="67">
      <c r="A67" s="11" t="inlineStr">
        <is>
          <t>Execution Momentum (EM)</t>
        </is>
      </c>
      <c r="B67" s="11" t="inlineStr">
        <is>
          <t>EM</t>
        </is>
      </c>
      <c r="C67" s="12" t="inlineStr">
        <is>
          <t>Archetype Drivers</t>
        </is>
      </c>
      <c r="D67" s="12" t="inlineStr">
        <is>
          <t>Growth &amp; Expansion</t>
        </is>
      </c>
      <c r="E67" s="11" t="inlineStr">
        <is>
          <t>R-66</t>
        </is>
      </c>
      <c r="F67" s="12" t="inlineStr">
        <is>
          <t>International Ad Campaign</t>
        </is>
      </c>
      <c r="G67" s="12" t="inlineStr">
        <is>
          <t>N/A</t>
        </is>
      </c>
      <c r="H67" s="16" t="n">
        <v>6</v>
      </c>
      <c r="I67" s="12" t="inlineStr">
        <is>
          <t>MULTI</t>
        </is>
      </c>
      <c r="J67" s="12" t="inlineStr">
        <is>
          <t>G_ARCH_GROWTH</t>
        </is>
      </c>
      <c r="K67" s="12" t="inlineStr">
        <is>
          <t>No</t>
        </is>
      </c>
      <c r="L67" s="12" t="inlineStr">
        <is>
          <t>EU active ads running, APAC campaign targeting, global remote advertising</t>
        </is>
      </c>
      <c r="M67" s="12" t="inlineStr">
        <is>
          <t>ads, international</t>
        </is>
      </c>
      <c r="N67" s="12" t="inlineStr">
        <is>
          <t>Marketing campaigns targeting international regions.</t>
        </is>
      </c>
      <c r="O67" s="12" t="inlineStr">
        <is>
          <t>Involved in Growth &amp; Expansion: adds +6 to archetype score.</t>
        </is>
      </c>
    </row>
    <row r="68">
      <c r="A68" s="13" t="inlineStr">
        <is>
          <t>Execution Momentum (EM)</t>
        </is>
      </c>
      <c r="B68" s="13" t="inlineStr">
        <is>
          <t>EM</t>
        </is>
      </c>
      <c r="C68" s="14" t="inlineStr">
        <is>
          <t>Archetype Drivers</t>
        </is>
      </c>
      <c r="D68" s="14" t="inlineStr">
        <is>
          <t>Enterprise Push</t>
        </is>
      </c>
      <c r="E68" s="13" t="inlineStr">
        <is>
          <t>R-67</t>
        </is>
      </c>
      <c r="F68" s="14" t="inlineStr">
        <is>
          <t>Enterprise Partnership</t>
        </is>
      </c>
      <c r="G68" s="14" t="inlineStr">
        <is>
          <t>N/A</t>
        </is>
      </c>
      <c r="H68" s="15" t="n">
        <v>8</v>
      </c>
      <c r="I68" s="14" t="inlineStr">
        <is>
          <t>MULTI</t>
        </is>
      </c>
      <c r="J68" s="14" t="inlineStr">
        <is>
          <t>G_ARCH_ENT_PUSH</t>
        </is>
      </c>
      <c r="K68" s="14" t="inlineStr">
        <is>
          <t>No</t>
        </is>
      </c>
      <c r="L68" s="14" t="inlineStr">
        <is>
          <t>Stripe Treasury integration, embedded travel integration, enterprise alliance contract, Stripe partnership</t>
        </is>
      </c>
      <c r="M68" s="14" t="inlineStr">
        <is>
          <t>Stripe, partnership, enterprise</t>
        </is>
      </c>
      <c r="N68" s="14" t="inlineStr">
        <is>
          <t>Strategic enterprise integrations.</t>
        </is>
      </c>
      <c r="O68" s="14" t="inlineStr">
        <is>
          <t>Involved in Enterprise Push: adds +8 to archetype score.</t>
        </is>
      </c>
    </row>
    <row r="69">
      <c r="A69" s="11" t="inlineStr">
        <is>
          <t>Execution Momentum (EM)</t>
        </is>
      </c>
      <c r="B69" s="11" t="inlineStr">
        <is>
          <t>EM</t>
        </is>
      </c>
      <c r="C69" s="12" t="inlineStr">
        <is>
          <t>Archetype Drivers</t>
        </is>
      </c>
      <c r="D69" s="12" t="inlineStr">
        <is>
          <t>Enterprise Push</t>
        </is>
      </c>
      <c r="E69" s="11" t="inlineStr">
        <is>
          <t>R-68</t>
        </is>
      </c>
      <c r="F69" s="12" t="inlineStr">
        <is>
          <t>Enterprise Feature Release</t>
        </is>
      </c>
      <c r="G69" s="12" t="inlineStr">
        <is>
          <t>N/A</t>
        </is>
      </c>
      <c r="H69" s="16" t="n">
        <v>10</v>
      </c>
      <c r="I69" s="12" t="inlineStr">
        <is>
          <t>MULTI</t>
        </is>
      </c>
      <c r="J69" s="12" t="inlineStr">
        <is>
          <t>G_ARCH_ENT_PUSH</t>
        </is>
      </c>
      <c r="K69" s="12" t="inlineStr">
        <is>
          <t>No</t>
        </is>
      </c>
      <c r="L69" s="12" t="inlineStr">
        <is>
          <t>Spend Controls 2.0 launch, real-time expense blocking, CFO budget protection tools</t>
        </is>
      </c>
      <c r="M69" s="12" t="inlineStr">
        <is>
          <t>CFO controls, expense feature</t>
        </is>
      </c>
      <c r="N69" s="12" t="inlineStr">
        <is>
          <t>Releasing CFO or expense control tools.</t>
        </is>
      </c>
      <c r="O69" s="12" t="inlineStr">
        <is>
          <t>Involved in Enterprise Push: adds +10 to archetype score.</t>
        </is>
      </c>
    </row>
    <row r="70">
      <c r="A70" s="13" t="inlineStr">
        <is>
          <t>Execution Momentum (EM)</t>
        </is>
      </c>
      <c r="B70" s="13" t="inlineStr">
        <is>
          <t>EM</t>
        </is>
      </c>
      <c r="C70" s="14" t="inlineStr">
        <is>
          <t>Archetype Drivers</t>
        </is>
      </c>
      <c r="D70" s="14" t="inlineStr">
        <is>
          <t>Enterprise Push</t>
        </is>
      </c>
      <c r="E70" s="13" t="inlineStr">
        <is>
          <t>R-69</t>
        </is>
      </c>
      <c r="F70" s="14" t="inlineStr">
        <is>
          <t>Head of Enterprise Sales Hire</t>
        </is>
      </c>
      <c r="G70" s="14" t="inlineStr">
        <is>
          <t>N/A</t>
        </is>
      </c>
      <c r="H70" s="15" t="n">
        <v>6</v>
      </c>
      <c r="I70" s="14" t="inlineStr">
        <is>
          <t>MULTI</t>
        </is>
      </c>
      <c r="J70" s="14" t="inlineStr">
        <is>
          <t>G_ARCH_ENT_PUSH</t>
        </is>
      </c>
      <c r="K70" s="14" t="inlineStr">
        <is>
          <t>No</t>
        </is>
      </c>
      <c r="L70" s="14" t="inlineStr">
        <is>
          <t>hiring sales executives, US sales director appointed, enterprise account director</t>
        </is>
      </c>
      <c r="M70" s="14" t="inlineStr">
        <is>
          <t>sales director, hire</t>
        </is>
      </c>
      <c r="N70" s="14" t="inlineStr">
        <is>
          <t>Hiring enterprise-focused sales leadership.</t>
        </is>
      </c>
      <c r="O70" s="14" t="inlineStr">
        <is>
          <t>Involved in Enterprise Push: adds +6 to archetype score.</t>
        </is>
      </c>
    </row>
    <row r="71">
      <c r="A71" s="11" t="inlineStr">
        <is>
          <t>Execution Momentum (EM)</t>
        </is>
      </c>
      <c r="B71" s="11" t="inlineStr">
        <is>
          <t>EM</t>
        </is>
      </c>
      <c r="C71" s="12" t="inlineStr">
        <is>
          <t>Archetype Drivers</t>
        </is>
      </c>
      <c r="D71" s="12" t="inlineStr">
        <is>
          <t>Competitive Response</t>
        </is>
      </c>
      <c r="E71" s="11" t="inlineStr">
        <is>
          <t>R-70</t>
        </is>
      </c>
      <c r="F71" s="12" t="inlineStr">
        <is>
          <t>Feature Matching</t>
        </is>
      </c>
      <c r="G71" s="12" t="inlineStr">
        <is>
          <t>N/A</t>
        </is>
      </c>
      <c r="H71" s="16" t="n">
        <v>8</v>
      </c>
      <c r="I71" s="12" t="inlineStr">
        <is>
          <t>MULTI</t>
        </is>
      </c>
      <c r="J71" s="12" t="inlineStr">
        <is>
          <t>G_ARCH_COMP_RESP</t>
        </is>
      </c>
      <c r="K71" s="12" t="inlineStr">
        <is>
          <t>No</t>
        </is>
      </c>
      <c r="L71" s="12" t="inlineStr">
        <is>
          <t>matches feature rollout, clone tool launched, similar product release, competitive response release</t>
        </is>
      </c>
      <c r="M71" s="12" t="inlineStr">
        <is>
          <t>matching, response, clone</t>
        </is>
      </c>
      <c r="N71" s="12" t="inlineStr">
        <is>
          <t>Competitor matching another's recent feature.</t>
        </is>
      </c>
      <c r="O71" s="12" t="inlineStr">
        <is>
          <t>Involved in Competitive Response: adds +8 to archetype score.</t>
        </is>
      </c>
    </row>
    <row r="72">
      <c r="A72" s="13" t="inlineStr">
        <is>
          <t>Execution Momentum (EM)</t>
        </is>
      </c>
      <c r="B72" s="13" t="inlineStr">
        <is>
          <t>EM</t>
        </is>
      </c>
      <c r="C72" s="14" t="inlineStr">
        <is>
          <t>Archetype Drivers</t>
        </is>
      </c>
      <c r="D72" s="14" t="inlineStr">
        <is>
          <t>Competitive Response</t>
        </is>
      </c>
      <c r="E72" s="13" t="inlineStr">
        <is>
          <t>R-71</t>
        </is>
      </c>
      <c r="F72" s="14" t="inlineStr">
        <is>
          <t>Positioning Copying</t>
        </is>
      </c>
      <c r="G72" s="14" t="inlineStr">
        <is>
          <t>N/A</t>
        </is>
      </c>
      <c r="H72" s="15" t="n">
        <v>8</v>
      </c>
      <c r="I72" s="14" t="inlineStr">
        <is>
          <t>MULTI</t>
        </is>
      </c>
      <c r="J72" s="14" t="inlineStr">
        <is>
          <t>G_ARCH_COMP_RESP</t>
        </is>
      </c>
      <c r="K72" s="14" t="inlineStr">
        <is>
          <t>No</t>
        </is>
      </c>
      <c r="L72" s="14" t="inlineStr">
        <is>
          <t>similar campaign themes, copied marketing positioning, matching branding message</t>
        </is>
      </c>
      <c r="M72" s="14" t="inlineStr">
        <is>
          <t>positioning, cloned copy</t>
        </is>
      </c>
      <c r="N72" s="14" t="inlineStr">
        <is>
          <t>Competitor copying marketing positioning.</t>
        </is>
      </c>
      <c r="O72" s="14" t="inlineStr">
        <is>
          <t>Involved in Competitive Response: adds +8 to archetype score.</t>
        </is>
      </c>
    </row>
    <row r="73">
      <c r="A73" s="11" t="inlineStr">
        <is>
          <t>Execution Momentum (EM)</t>
        </is>
      </c>
      <c r="B73" s="11" t="inlineStr">
        <is>
          <t>EM</t>
        </is>
      </c>
      <c r="C73" s="12" t="inlineStr">
        <is>
          <t>Archetype Drivers</t>
        </is>
      </c>
      <c r="D73" s="12" t="inlineStr">
        <is>
          <t>Competitive Response</t>
        </is>
      </c>
      <c r="E73" s="11" t="inlineStr">
        <is>
          <t>R-72</t>
        </is>
      </c>
      <c r="F73" s="12" t="inlineStr">
        <is>
          <t>Price Matching / Discounting</t>
        </is>
      </c>
      <c r="G73" s="12" t="inlineStr">
        <is>
          <t>N/A</t>
        </is>
      </c>
      <c r="H73" s="16" t="n">
        <v>6</v>
      </c>
      <c r="I73" s="12" t="inlineStr">
        <is>
          <t>MULTI</t>
        </is>
      </c>
      <c r="J73" s="12" t="inlineStr">
        <is>
          <t>G_ARCH_COMP_RESP</t>
        </is>
      </c>
      <c r="K73" s="12" t="inlineStr">
        <is>
          <t>No</t>
        </is>
      </c>
      <c r="L73" s="12" t="inlineStr">
        <is>
          <t>price matching program, promo packages discount, matching pricing adjustments, discount pricing offer</t>
        </is>
      </c>
      <c r="M73" s="12" t="inlineStr">
        <is>
          <t>price matching, discounts</t>
        </is>
      </c>
      <c r="N73" s="12" t="inlineStr">
        <is>
          <t>Offering matching discounts or matching pricing hikes.</t>
        </is>
      </c>
      <c r="O73" s="12" t="inlineStr">
        <is>
          <t>Involved in Competitive Response: adds +6 to archetype score.</t>
        </is>
      </c>
    </row>
    <row r="74">
      <c r="A74" s="13" t="inlineStr">
        <is>
          <t>Execution Momentum (EM)</t>
        </is>
      </c>
      <c r="B74" s="13" t="inlineStr">
        <is>
          <t>EM</t>
        </is>
      </c>
      <c r="C74" s="14" t="inlineStr">
        <is>
          <t>Archetype Drivers</t>
        </is>
      </c>
      <c r="D74" s="14" t="inlineStr">
        <is>
          <t>Platform Consolidation</t>
        </is>
      </c>
      <c r="E74" s="13" t="inlineStr">
        <is>
          <t>R-73</t>
        </is>
      </c>
      <c r="F74" s="14" t="inlineStr">
        <is>
          <t>Competitor Acquisition</t>
        </is>
      </c>
      <c r="G74" s="14" t="inlineStr">
        <is>
          <t>N/A</t>
        </is>
      </c>
      <c r="H74" s="15" t="n">
        <v>12</v>
      </c>
      <c r="I74" s="14" t="inlineStr">
        <is>
          <t>MULTI</t>
        </is>
      </c>
      <c r="J74" s="14" t="inlineStr">
        <is>
          <t>G_ARCH_PLAT_CONSOL</t>
        </is>
      </c>
      <c r="K74" s="14" t="inlineStr">
        <is>
          <t>No</t>
        </is>
      </c>
      <c r="L74" s="14" t="inlineStr">
        <is>
          <t>Egencia portfolio acquisition, completed corporate acquisition, acquired competitor corporate, acquired CWT, acquired AmTrav, Brazil Smartrips acquisition</t>
        </is>
      </c>
      <c r="M74" s="14" t="inlineStr">
        <is>
          <t>acquires, acquisition, Egencia, Smartrips</t>
        </is>
      </c>
      <c r="N74" s="14" t="inlineStr">
        <is>
          <t>Acquiring another competitor platform.</t>
        </is>
      </c>
      <c r="O74" s="14" t="inlineStr">
        <is>
          <t>Involved in Platform Consolidation: adds +12 to archetype score.</t>
        </is>
      </c>
    </row>
    <row r="75">
      <c r="A75" s="11" t="inlineStr">
        <is>
          <t>Execution Momentum (EM)</t>
        </is>
      </c>
      <c r="B75" s="11" t="inlineStr">
        <is>
          <t>EM</t>
        </is>
      </c>
      <c r="C75" s="12" t="inlineStr">
        <is>
          <t>Archetype Drivers</t>
        </is>
      </c>
      <c r="D75" s="12" t="inlineStr">
        <is>
          <t>Platform Consolidation</t>
        </is>
      </c>
      <c r="E75" s="11" t="inlineStr">
        <is>
          <t>R-74</t>
        </is>
      </c>
      <c r="F75" s="12" t="inlineStr">
        <is>
          <t>Product Integration</t>
        </is>
      </c>
      <c r="G75" s="12" t="inlineStr">
        <is>
          <t>N/A</t>
        </is>
      </c>
      <c r="H75" s="16" t="n">
        <v>8</v>
      </c>
      <c r="I75" s="12" t="inlineStr">
        <is>
          <t>MULTI</t>
        </is>
      </c>
      <c r="J75" s="12" t="inlineStr">
        <is>
          <t>G_ARCH_PLAT_CONSOL</t>
        </is>
      </c>
      <c r="K75" s="12" t="inlineStr">
        <is>
          <t>No</t>
        </is>
      </c>
      <c r="L75" s="12" t="inlineStr">
        <is>
          <t>database integration unified, unified travel platform project, backend database sync</t>
        </is>
      </c>
      <c r="M75" s="12" t="inlineStr">
        <is>
          <t>integration, unified, database</t>
        </is>
      </c>
      <c r="N75" s="12" t="inlineStr">
        <is>
          <t>Integrating acquired database with core engine.</t>
        </is>
      </c>
      <c r="O75" s="12" t="inlineStr">
        <is>
          <t>Involved in Platform Consolidation: adds +8 to archetype score.</t>
        </is>
      </c>
    </row>
    <row r="76">
      <c r="A76" s="13" t="inlineStr">
        <is>
          <t>Execution Momentum (EM)</t>
        </is>
      </c>
      <c r="B76" s="13" t="inlineStr">
        <is>
          <t>EM</t>
        </is>
      </c>
      <c r="C76" s="14" t="inlineStr">
        <is>
          <t>Archetype Drivers</t>
        </is>
      </c>
      <c r="D76" s="14" t="inlineStr">
        <is>
          <t>Platform Consolidation</t>
        </is>
      </c>
      <c r="E76" s="13" t="inlineStr">
        <is>
          <t>R-75</t>
        </is>
      </c>
      <c r="F76" s="14" t="inlineStr">
        <is>
          <t>Unified Platform Rebrand</t>
        </is>
      </c>
      <c r="G76" s="14" t="inlineStr">
        <is>
          <t>N/A</t>
        </is>
      </c>
      <c r="H76" s="15" t="n">
        <v>8</v>
      </c>
      <c r="I76" s="14" t="inlineStr">
        <is>
          <t>MULTI</t>
        </is>
      </c>
      <c r="J76" s="14" t="inlineStr">
        <is>
          <t>G_ARCH_PLAT_CONSOL</t>
        </is>
      </c>
      <c r="K76" s="14" t="inlineStr">
        <is>
          <t>No</t>
        </is>
      </c>
      <c r="L76" s="14" t="inlineStr">
        <is>
          <t>unified platform launch branding, brand rebrand consolidation, consolidated travel suite</t>
        </is>
      </c>
      <c r="M76" s="14" t="inlineStr">
        <is>
          <t>rebrand, unified, brand</t>
        </is>
      </c>
      <c r="N76" s="14" t="inlineStr">
        <is>
          <t>Rebranding separate tools under a single suite.</t>
        </is>
      </c>
      <c r="O76" s="14" t="inlineStr">
        <is>
          <t>Involved in Platform Consolidation: adds +8 to archetype score.</t>
        </is>
      </c>
    </row>
    <row r="77">
      <c r="A77" s="11" t="inlineStr">
        <is>
          <t>Strategic Intent (SI)</t>
        </is>
      </c>
      <c r="B77" s="11" t="inlineStr">
        <is>
          <t>SI</t>
        </is>
      </c>
      <c r="C77" s="12" t="inlineStr">
        <is>
          <t>Event Priority</t>
        </is>
      </c>
      <c r="D77" s="12" t="inlineStr">
        <is>
          <t>Product &amp; Tech Events</t>
        </is>
      </c>
      <c r="E77" s="11" t="inlineStr">
        <is>
          <t>R-76</t>
        </is>
      </c>
      <c r="F77" s="12" t="inlineStr">
        <is>
          <t>Open-Source Tool Release</t>
        </is>
      </c>
      <c r="G77" s="12" t="inlineStr">
        <is>
          <t>N/A</t>
        </is>
      </c>
      <c r="H77" s="16" t="n">
        <v>8</v>
      </c>
      <c r="I77" s="12" t="inlineStr">
        <is>
          <t>SINGLE</t>
        </is>
      </c>
      <c r="J77" s="12" t="inlineStr">
        <is>
          <t>G_EVENT_PRIORITY</t>
        </is>
      </c>
      <c r="K77" s="12" t="inlineStr">
        <is>
          <t>Yes</t>
        </is>
      </c>
      <c r="L77" s="12" t="inlineStr">
        <is>
          <t>open-source SDK release, open-source model repository, GitHub code release, public codebase repository, MIT license release</t>
        </is>
      </c>
      <c r="M77" s="12" t="inlineStr">
        <is>
          <t>open-source, SDK, GitHub, repository</t>
        </is>
      </c>
      <c r="N77" s="12" t="inlineStr">
        <is>
          <t>Releasing developer-facing open-source tooling.</t>
        </is>
      </c>
      <c r="O77" s="12" t="inlineStr">
        <is>
          <t>Assign 8 points if competitor releases an open-source SDK or repo.</t>
        </is>
      </c>
    </row>
    <row r="78">
      <c r="A78" s="13" t="inlineStr">
        <is>
          <t>Execution Momentum (EM)</t>
        </is>
      </c>
      <c r="B78" s="13" t="inlineStr">
        <is>
          <t>EM</t>
        </is>
      </c>
      <c r="C78" s="14" t="inlineStr">
        <is>
          <t>Source &amp; Evidence</t>
        </is>
      </c>
      <c r="D78" s="14" t="inlineStr">
        <is>
          <t>HR &amp; Org Events</t>
        </is>
      </c>
      <c r="E78" s="13" t="inlineStr">
        <is>
          <t>R-77</t>
        </is>
      </c>
      <c r="F78" s="14" t="inlineStr">
        <is>
          <t>Developer Advocate Hires</t>
        </is>
      </c>
      <c r="G78" s="14" t="inlineStr">
        <is>
          <t>N/A</t>
        </is>
      </c>
      <c r="H78" s="15" t="n">
        <v>6</v>
      </c>
      <c r="I78" s="14" t="inlineStr">
        <is>
          <t>SINGLE</t>
        </is>
      </c>
      <c r="J78" s="14" t="inlineStr">
        <is>
          <t>G_EVENT_PRIORITY</t>
        </is>
      </c>
      <c r="K78" s="14" t="inlineStr">
        <is>
          <t>Yes</t>
        </is>
      </c>
      <c r="L78" s="14" t="inlineStr">
        <is>
          <t>developer relations recruitment, devrel hires, developer advocate appointment, API community building, hiring devrel managers</t>
        </is>
      </c>
      <c r="M78" s="14" t="inlineStr">
        <is>
          <t>Relations, DevRel, advocate</t>
        </is>
      </c>
      <c r="N78" s="14" t="inlineStr">
        <is>
          <t>Hiring developer relations leads to drive API adoption.</t>
        </is>
      </c>
      <c r="O78" s="14" t="inlineStr">
        <is>
          <t>Assign 6 points if competitor recruits developer relations managers.</t>
        </is>
      </c>
    </row>
    <row r="79">
      <c r="A79" s="11" t="inlineStr">
        <is>
          <t>Strategic Intent (SI)</t>
        </is>
      </c>
      <c r="B79" s="11" t="inlineStr">
        <is>
          <t>SI</t>
        </is>
      </c>
      <c r="C79" s="12" t="inlineStr">
        <is>
          <t>Strategic Context</t>
        </is>
      </c>
      <c r="D79" s="12" t="inlineStr">
        <is>
          <t>AI &amp; Agentic Depth</t>
        </is>
      </c>
      <c r="E79" s="11" t="inlineStr">
        <is>
          <t>R-78</t>
        </is>
      </c>
      <c r="F79" s="12" t="inlineStr">
        <is>
          <t>AI Safety &amp; Compliance Filings</t>
        </is>
      </c>
      <c r="G79" s="12" t="inlineStr">
        <is>
          <t>N/A</t>
        </is>
      </c>
      <c r="H79" s="16" t="n">
        <v>5</v>
      </c>
      <c r="I79" s="12" t="inlineStr">
        <is>
          <t>SINGLE</t>
        </is>
      </c>
      <c r="J79" s="12" t="inlineStr">
        <is>
          <t>G_AI_DEPTH</t>
        </is>
      </c>
      <c r="K79" s="12" t="inlineStr">
        <is>
          <t>Yes</t>
        </is>
      </c>
      <c r="L79" s="12" t="inlineStr">
        <is>
          <t>red-teaming evaluation, safety audit compliance, AI safety filings, model alignment audit, safety guidelines framework</t>
        </is>
      </c>
      <c r="M79" s="12" t="inlineStr">
        <is>
          <t>safety, audit, compliance, alignment</t>
        </is>
      </c>
      <c r="N79" s="12" t="inlineStr">
        <is>
          <t>Disclosing red-teaming audits or regulatory safety frameworks.</t>
        </is>
      </c>
      <c r="O79" s="12" t="inlineStr">
        <is>
          <t>Assign 5 points if filings or statements focus on AI safety compliance.</t>
        </is>
      </c>
    </row>
    <row r="80">
      <c r="A80" s="13" t="inlineStr">
        <is>
          <t>Strategic Intent (SI)</t>
        </is>
      </c>
      <c r="B80" s="13" t="inlineStr">
        <is>
          <t>SI</t>
        </is>
      </c>
      <c r="C80" s="14" t="inlineStr">
        <is>
          <t>Strategic Context</t>
        </is>
      </c>
      <c r="D80" s="14" t="inlineStr">
        <is>
          <t>Narrative Stance</t>
        </is>
      </c>
      <c r="E80" s="13" t="inlineStr">
        <is>
          <t>R-79</t>
        </is>
      </c>
      <c r="F80" s="14" t="inlineStr">
        <is>
          <t>Sustainability Travel Narrative</t>
        </is>
      </c>
      <c r="G80" s="14" t="inlineStr">
        <is>
          <t>N/A</t>
        </is>
      </c>
      <c r="H80" s="15" t="n">
        <v>5</v>
      </c>
      <c r="I80" s="14" t="inlineStr">
        <is>
          <t>SINGLE</t>
        </is>
      </c>
      <c r="J80" s="14" t="inlineStr">
        <is>
          <t>G_NARRATIVE</t>
        </is>
      </c>
      <c r="K80" s="14" t="inlineStr">
        <is>
          <t>Yes</t>
        </is>
      </c>
      <c r="L80" s="14" t="inlineStr">
        <is>
          <t>carbon footprint tracking, sustainability travel reports, green travel budgets, carbon offset booking, eco-friendly travel options</t>
        </is>
      </c>
      <c r="M80" s="14" t="inlineStr">
        <is>
          <t>carbon, sustainability, green, eco-friendly</t>
        </is>
      </c>
      <c r="N80" s="14" t="inlineStr">
        <is>
          <t>Positioning around green travel budgets and carbon offsets.</t>
        </is>
      </c>
      <c r="O80" s="14" t="inlineStr">
        <is>
          <t>Assign 5 points if narrative highlights sustainability metrics.</t>
        </is>
      </c>
    </row>
    <row r="81">
      <c r="A81" s="11" t="inlineStr">
        <is>
          <t>Strategic Intent (SI)</t>
        </is>
      </c>
      <c r="B81" s="11" t="inlineStr">
        <is>
          <t>SI</t>
        </is>
      </c>
      <c r="C81" s="12" t="inlineStr">
        <is>
          <t>Event Priority</t>
        </is>
      </c>
      <c r="D81" s="12" t="inlineStr">
        <is>
          <t>Financial Events</t>
        </is>
      </c>
      <c r="E81" s="11" t="inlineStr">
        <is>
          <t>R-80</t>
        </is>
      </c>
      <c r="F81" s="12" t="inlineStr">
        <is>
          <t>Legal &amp; Regulatory Audits</t>
        </is>
      </c>
      <c r="G81" s="12" t="inlineStr">
        <is>
          <t>N/A</t>
        </is>
      </c>
      <c r="H81" s="16" t="n">
        <v>8</v>
      </c>
      <c r="I81" s="12" t="inlineStr">
        <is>
          <t>SINGLE</t>
        </is>
      </c>
      <c r="J81" s="12" t="inlineStr">
        <is>
          <t>G_EVENT_PRIORITY</t>
        </is>
      </c>
      <c r="K81" s="12" t="inlineStr">
        <is>
          <t>Yes</t>
        </is>
      </c>
      <c r="L81" s="12" t="inlineStr">
        <is>
          <t>antitrust investigation probe, travel license dispute, regulatory audit penalty, compliance lawsuit, antitrust compliance breach</t>
        </is>
      </c>
      <c r="M81" s="12" t="inlineStr">
        <is>
          <t>antitrust, lawsuit, audit, legal</t>
        </is>
      </c>
      <c r="N81" s="12" t="inlineStr">
        <is>
          <t>Competitor audited by travel boards or facing anti-trust actions.</t>
        </is>
      </c>
      <c r="O81" s="12" t="inlineStr">
        <is>
          <t>Assign 8 points if competitor faces regulatory legal investigation.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>
      <c r="A1" s="6" t="inlineStr">
        <is>
          <t>Entity/Field</t>
        </is>
      </c>
      <c r="B1" s="6" t="inlineStr">
        <is>
          <t>Description</t>
        </is>
      </c>
      <c r="C1" s="6" t="inlineStr">
        <is>
          <t>Body Extraction Rule</t>
        </is>
      </c>
      <c r="D1" s="7" t="inlineStr">
        <is>
          <t>Impact on Score / Application</t>
        </is>
      </c>
      <c r="E1" s="6" t="inlineStr">
        <is>
          <t>Example Extracted Text</t>
        </is>
      </c>
    </row>
    <row r="2">
      <c r="A2" s="13" t="inlineStr">
        <is>
          <t>Publisher Category</t>
        </is>
      </c>
      <c r="B2" s="14" t="inlineStr">
        <is>
          <t>Classifies the authority and target audience of the media source.</t>
        </is>
      </c>
      <c r="C2" s="14" t="inlineStr">
        <is>
          <t>Scan publisher name and match against Media Tiers (Tier 1-5).</t>
        </is>
      </c>
      <c r="D2" s="14" t="inlineStr">
        <is>
          <t>Assigns 10 points for Tier-1 Financial (Bloomberg), 8 for Tech Press (TechCrunch), 6 for Forums (Hacker News), 4 for Competitor Blogs.</t>
        </is>
      </c>
      <c r="E2" s="14" t="inlineStr">
        <is>
          <t>TechCrunch reported that Navan launches AI Concierge...</t>
        </is>
      </c>
    </row>
    <row r="3">
      <c r="A3" s="11" t="inlineStr">
        <is>
          <t>Content Format</t>
        </is>
      </c>
      <c r="B3" s="12" t="inlineStr">
        <is>
          <t>Identifies the tone, structural format, and strategic authority of the text.</t>
        </is>
      </c>
      <c r="C3" s="12" t="inlineStr">
        <is>
          <t>Match article format: C-level interviews, podcasts, official press releases, earnings transcripts, or forum threads.</t>
        </is>
      </c>
      <c r="D3" s="12" t="inlineStr">
        <is>
          <t>C-level interviews/keynotes get 10 points; official product press releases get 8 points; forum backlash threads get 3 points.</t>
        </is>
      </c>
      <c r="E3" s="12" t="inlineStr">
        <is>
          <t>In an interview with BTN Forum, Navan CEO stated...</t>
        </is>
      </c>
    </row>
    <row r="4">
      <c r="A4" s="13" t="inlineStr">
        <is>
          <t>Executive Hires</t>
        </is>
      </c>
      <c r="B4" s="14" t="inlineStr">
        <is>
          <t>Tracks leadership recruitment, titles, and background to predict focus.</t>
        </is>
      </c>
      <c r="C4" s="14" t="inlineStr">
        <is>
          <t>Extract: Person Name, New Title, Past Company Name, Department.</t>
        </is>
      </c>
      <c r="D4" s="14" t="inlineStr">
        <is>
          <t>If past company is a top AI lab (DeepMind, OpenAI, Anthropic), add a +5 point bonus to the Strategic Intent score.</t>
        </is>
      </c>
      <c r="E4" s="14" t="inlineStr">
        <is>
          <t>Dr. Sarah Chen, ex-Google DeepMind VP, joins Navan as Head of AI Products...</t>
        </is>
      </c>
    </row>
    <row r="5">
      <c r="A5" s="11" t="inlineStr">
        <is>
          <t>Funding Details</t>
        </is>
      </c>
      <c r="B5" s="12" t="inlineStr">
        <is>
          <t>Extracts exact capital backing and VC firms involved.</t>
        </is>
      </c>
      <c r="C5" s="12" t="inlineStr">
        <is>
          <t>Identify round name (Seed - Series D), amount ($M), and lead venture firms.</t>
        </is>
      </c>
      <c r="D5" s="12" t="inlineStr">
        <is>
          <t>Used to compute Resource Backing score: Seed/A-round get 6 points, B/C/D-round get 10 points.</t>
        </is>
      </c>
      <c r="E5" s="12" t="inlineStr">
        <is>
          <t>VoyageX raised $18M Series A led by Sequoia...</t>
        </is>
      </c>
    </row>
    <row r="6">
      <c r="A6" s="13" t="inlineStr">
        <is>
          <t>Pricing Snapshots</t>
        </is>
      </c>
      <c r="B6" s="14" t="inlineStr">
        <is>
          <t>Monitors price hikes or new seat pricing packages.</t>
        </is>
      </c>
      <c r="C6" s="14" t="inlineStr">
        <is>
          <t>Extract: Percentage increase (%), effective dates (Q3 2026), and package names.</t>
        </is>
      </c>
      <c r="D6" s="14" t="inlineStr">
        <is>
          <t>Triggers 'Pricing displacement opportunity' flag. Adds +5 points to Product Overlap.</t>
        </is>
      </c>
      <c r="E6" s="14" t="inlineStr">
        <is>
          <t>SAP Concur raised enterprise pricing by 14% on renewals...</t>
        </is>
      </c>
    </row>
    <row r="7">
      <c r="A7" s="11" t="inlineStr">
        <is>
          <t>Performance Metrics</t>
        </is>
      </c>
      <c r="B7" s="12" t="inlineStr">
        <is>
          <t>Extracts pilot results and product velocity indicators.</t>
        </is>
      </c>
      <c r="C7" s="12" t="inlineStr">
        <is>
          <t>Extract: percentage drops in approvals, onboarding times, seat counts, waitlists.</t>
        </is>
      </c>
      <c r="D7" s="12" t="inlineStr">
        <is>
          <t>High-impact metrics (e.g. 73% drop in approvals, &lt;48h onboarding) increase the Disruption Potential score to 10.</t>
        </is>
      </c>
      <c r="E7" s="12" t="inlineStr">
        <is>
          <t>FlowTrip HN launch generated 380 upvotes and 200+ waitlist signups in 48h...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34" customWidth="1" min="3" max="3"/>
    <col width="16" customWidth="1" min="4" max="4"/>
    <col width="21" customWidth="1" min="5" max="5"/>
    <col width="18" customWidth="1" min="6" max="6"/>
    <col width="21" customWidth="1" min="7" max="7"/>
    <col width="25" customWidth="1" min="8" max="8"/>
    <col width="23" customWidth="1" min="9" max="9"/>
  </cols>
  <sheetData>
    <row r="1"/>
    <row r="2">
      <c r="B2" s="1" t="inlineStr">
        <is>
          <t>Strategic Archetype Mapping Matrix (Completed)</t>
        </is>
      </c>
    </row>
    <row r="3">
      <c r="B3" s="2" t="inlineStr">
        <is>
          <t>This sheet maps all 80 rubrics to the 6 core strategic archetypes. 'X' denotes a primary sequence driver.</t>
        </is>
      </c>
    </row>
    <row r="4"/>
    <row r="5">
      <c r="B5" s="6" t="inlineStr">
        <is>
          <t>Rubric ID</t>
        </is>
      </c>
      <c r="C5" s="6" t="inlineStr">
        <is>
          <t>Rubric Name</t>
        </is>
      </c>
      <c r="D5" s="7" t="inlineStr">
        <is>
          <t>AI Investment</t>
        </is>
      </c>
      <c r="E5" s="7" t="inlineStr">
        <is>
          <t>Growth &amp; Expansion</t>
        </is>
      </c>
      <c r="F5" s="7" t="inlineStr">
        <is>
          <t>Enterprise Push</t>
        </is>
      </c>
      <c r="G5" s="7" t="inlineStr">
        <is>
          <t>Product Innovation</t>
        </is>
      </c>
      <c r="H5" s="7" t="inlineStr">
        <is>
          <t>Platform Consolidation</t>
        </is>
      </c>
      <c r="I5" s="7" t="inlineStr">
        <is>
          <t>Competitive Response</t>
        </is>
      </c>
    </row>
    <row r="6">
      <c r="B6" s="13" t="inlineStr">
        <is>
          <t>R-01</t>
        </is>
      </c>
      <c r="C6" s="14" t="inlineStr">
        <is>
          <t>Core Competitor</t>
        </is>
      </c>
      <c r="D6" s="17" t="inlineStr"/>
      <c r="E6" s="17" t="inlineStr"/>
      <c r="F6" s="17" t="inlineStr"/>
      <c r="G6" s="17" t="inlineStr"/>
      <c r="H6" s="17" t="inlineStr"/>
      <c r="I6" s="17" t="inlineStr"/>
    </row>
    <row r="7">
      <c r="B7" s="11" t="inlineStr">
        <is>
          <t>R-02</t>
        </is>
      </c>
      <c r="C7" s="12" t="inlineStr">
        <is>
          <t>Spend/FinOps Competitor</t>
        </is>
      </c>
      <c r="D7" s="10" t="inlineStr"/>
      <c r="E7" s="10" t="inlineStr"/>
      <c r="F7" s="10" t="inlineStr"/>
      <c r="G7" s="10" t="inlineStr"/>
      <c r="H7" s="10" t="inlineStr"/>
      <c r="I7" s="10" t="inlineStr"/>
    </row>
    <row r="8">
      <c r="B8" s="13" t="inlineStr">
        <is>
          <t>R-03</t>
        </is>
      </c>
      <c r="C8" s="14" t="inlineStr">
        <is>
          <t>Tech/AI Leader</t>
        </is>
      </c>
      <c r="D8" s="17" t="inlineStr"/>
      <c r="E8" s="17" t="inlineStr"/>
      <c r="F8" s="17" t="inlineStr"/>
      <c r="G8" s="17" t="inlineStr"/>
      <c r="H8" s="17" t="inlineStr"/>
      <c r="I8" s="17" t="inlineStr"/>
    </row>
    <row r="9">
      <c r="B9" s="11" t="inlineStr">
        <is>
          <t>R-04</t>
        </is>
      </c>
      <c r="C9" s="12" t="inlineStr">
        <is>
          <t>New Entrant</t>
        </is>
      </c>
      <c r="D9" s="10" t="inlineStr"/>
      <c r="E9" s="10" t="inlineStr"/>
      <c r="F9" s="10" t="inlineStr"/>
      <c r="G9" s="10" t="inlineStr"/>
      <c r="H9" s="10" t="inlineStr"/>
      <c r="I9" s="10" t="inlineStr"/>
    </row>
    <row r="10">
      <c r="B10" s="13" t="inlineStr">
        <is>
          <t>R-05</t>
        </is>
      </c>
      <c r="C10" s="14" t="inlineStr">
        <is>
          <t>Agentic Travel Workflows</t>
        </is>
      </c>
      <c r="D10" s="17" t="inlineStr"/>
      <c r="E10" s="17" t="inlineStr"/>
      <c r="F10" s="17" t="inlineStr"/>
      <c r="G10" s="18" t="inlineStr">
        <is>
          <t>X</t>
        </is>
      </c>
      <c r="H10" s="17" t="inlineStr"/>
      <c r="I10" s="17" t="inlineStr"/>
    </row>
    <row r="11">
      <c r="B11" s="11" t="inlineStr">
        <is>
          <t>R-06</t>
        </is>
      </c>
      <c r="C11" s="12" t="inlineStr">
        <is>
          <t>Traditional Travel Booking</t>
        </is>
      </c>
      <c r="D11" s="10" t="inlineStr"/>
      <c r="E11" s="10" t="inlineStr"/>
      <c r="F11" s="10" t="inlineStr"/>
      <c r="G11" s="10" t="inlineStr"/>
      <c r="H11" s="10" t="inlineStr"/>
      <c r="I11" s="10" t="inlineStr"/>
    </row>
    <row r="12">
      <c r="B12" s="13" t="inlineStr">
        <is>
          <t>R-07</t>
        </is>
      </c>
      <c r="C12" s="14" t="inlineStr">
        <is>
          <t>Expense &amp; Spend Controls</t>
        </is>
      </c>
      <c r="D12" s="17" t="inlineStr"/>
      <c r="E12" s="17" t="inlineStr"/>
      <c r="F12" s="17" t="inlineStr"/>
      <c r="G12" s="17" t="inlineStr"/>
      <c r="H12" s="17" t="inlineStr"/>
      <c r="I12" s="17" t="inlineStr"/>
    </row>
    <row r="13">
      <c r="B13" s="11" t="inlineStr">
        <is>
          <t>R-08</t>
        </is>
      </c>
      <c r="C13" s="12" t="inlineStr">
        <is>
          <t>Accounting &amp; ERP Integration</t>
        </is>
      </c>
      <c r="D13" s="10" t="inlineStr"/>
      <c r="E13" s="10" t="inlineStr"/>
      <c r="F13" s="10" t="inlineStr"/>
      <c r="G13" s="10" t="inlineStr"/>
      <c r="H13" s="10" t="inlineStr"/>
      <c r="I13" s="10" t="inlineStr"/>
    </row>
    <row r="14">
      <c r="B14" s="13" t="inlineStr">
        <is>
          <t>R-09</t>
        </is>
      </c>
      <c r="C14" s="14" t="inlineStr">
        <is>
          <t>US Enterprise Buyers</t>
        </is>
      </c>
      <c r="D14" s="17" t="inlineStr"/>
      <c r="E14" s="17" t="inlineStr"/>
      <c r="F14" s="18" t="inlineStr">
        <is>
          <t>X</t>
        </is>
      </c>
      <c r="G14" s="17" t="inlineStr"/>
      <c r="H14" s="17" t="inlineStr"/>
      <c r="I14" s="17" t="inlineStr"/>
    </row>
    <row r="15">
      <c r="B15" s="11" t="inlineStr">
        <is>
          <t>R-10</t>
        </is>
      </c>
      <c r="C15" s="12" t="inlineStr">
        <is>
          <t>SMBs &amp; Startups</t>
        </is>
      </c>
      <c r="D15" s="10" t="inlineStr"/>
      <c r="E15" s="10" t="inlineStr"/>
      <c r="F15" s="10" t="inlineStr"/>
      <c r="G15" s="10" t="inlineStr"/>
      <c r="H15" s="10" t="inlineStr"/>
      <c r="I15" s="10" t="inlineStr"/>
    </row>
    <row r="16">
      <c r="B16" s="13" t="inlineStr">
        <is>
          <t>R-11</t>
        </is>
      </c>
      <c r="C16" s="14" t="inlineStr">
        <is>
          <t>Remote &amp; Distributed Teams</t>
        </is>
      </c>
      <c r="D16" s="17" t="inlineStr"/>
      <c r="E16" s="17" t="inlineStr"/>
      <c r="F16" s="17" t="inlineStr"/>
      <c r="G16" s="17" t="inlineStr"/>
      <c r="H16" s="17" t="inlineStr"/>
      <c r="I16" s="17" t="inlineStr"/>
    </row>
    <row r="17">
      <c r="B17" s="11" t="inlineStr">
        <is>
          <t>R-12</t>
        </is>
      </c>
      <c r="C17" s="12" t="inlineStr">
        <is>
          <t>Individual Consumer Travel</t>
        </is>
      </c>
      <c r="D17" s="10" t="inlineStr"/>
      <c r="E17" s="10" t="inlineStr"/>
      <c r="F17" s="10" t="inlineStr"/>
      <c r="G17" s="10" t="inlineStr"/>
      <c r="H17" s="10" t="inlineStr"/>
      <c r="I17" s="10" t="inlineStr"/>
    </row>
    <row r="18">
      <c r="B18" s="13" t="inlineStr">
        <is>
          <t>R-13</t>
        </is>
      </c>
      <c r="C18" s="14" t="inlineStr">
        <is>
          <t>US Launch / US Core</t>
        </is>
      </c>
      <c r="D18" s="17" t="inlineStr"/>
      <c r="E18" s="17" t="inlineStr"/>
      <c r="F18" s="17" t="inlineStr"/>
      <c r="G18" s="17" t="inlineStr"/>
      <c r="H18" s="17" t="inlineStr"/>
      <c r="I18" s="17" t="inlineStr"/>
    </row>
    <row r="19">
      <c r="B19" s="11" t="inlineStr">
        <is>
          <t>R-14</t>
        </is>
      </c>
      <c r="C19" s="12" t="inlineStr">
        <is>
          <t>European / APAC Scaling</t>
        </is>
      </c>
      <c r="D19" s="10" t="inlineStr"/>
      <c r="E19" s="10" t="inlineStr"/>
      <c r="F19" s="10" t="inlineStr"/>
      <c r="G19" s="10" t="inlineStr"/>
      <c r="H19" s="10" t="inlineStr"/>
      <c r="I19" s="10" t="inlineStr"/>
    </row>
    <row r="20">
      <c r="B20" s="13" t="inlineStr">
        <is>
          <t>R-15</t>
        </is>
      </c>
      <c r="C20" s="14" t="inlineStr">
        <is>
          <t>Local Domestic Regional</t>
        </is>
      </c>
      <c r="D20" s="17" t="inlineStr"/>
      <c r="E20" s="17" t="inlineStr"/>
      <c r="F20" s="17" t="inlineStr"/>
      <c r="G20" s="17" t="inlineStr"/>
      <c r="H20" s="17" t="inlineStr"/>
      <c r="I20" s="17" t="inlineStr"/>
    </row>
    <row r="21">
      <c r="B21" s="11" t="inlineStr">
        <is>
          <t>R-16</t>
        </is>
      </c>
      <c r="C21" s="12" t="inlineStr">
        <is>
          <t>Major Product Launch</t>
        </is>
      </c>
      <c r="D21" s="10" t="inlineStr"/>
      <c r="E21" s="10" t="inlineStr"/>
      <c r="F21" s="10" t="inlineStr"/>
      <c r="G21" s="18" t="inlineStr">
        <is>
          <t>X</t>
        </is>
      </c>
      <c r="H21" s="10" t="inlineStr"/>
      <c r="I21" s="10" t="inlineStr"/>
    </row>
    <row r="22">
      <c r="B22" s="13" t="inlineStr">
        <is>
          <t>R-17</t>
        </is>
      </c>
      <c r="C22" s="14" t="inlineStr">
        <is>
          <t>Minor Feature Release</t>
        </is>
      </c>
      <c r="D22" s="17" t="inlineStr"/>
      <c r="E22" s="17" t="inlineStr"/>
      <c r="F22" s="17" t="inlineStr"/>
      <c r="G22" s="18" t="inlineStr">
        <is>
          <t>X</t>
        </is>
      </c>
      <c r="H22" s="17" t="inlineStr"/>
      <c r="I22" s="17" t="inlineStr"/>
    </row>
    <row r="23">
      <c r="B23" s="11" t="inlineStr">
        <is>
          <t>R-18</t>
        </is>
      </c>
      <c r="C23" s="12" t="inlineStr">
        <is>
          <t>API &amp; Developer Launch</t>
        </is>
      </c>
      <c r="D23" s="10" t="inlineStr"/>
      <c r="E23" s="10" t="inlineStr"/>
      <c r="F23" s="10" t="inlineStr"/>
      <c r="G23" s="18" t="inlineStr">
        <is>
          <t>X</t>
        </is>
      </c>
      <c r="H23" s="10" t="inlineStr"/>
      <c r="I23" s="10" t="inlineStr"/>
    </row>
    <row r="24">
      <c r="B24" s="13" t="inlineStr">
        <is>
          <t>R-19</t>
        </is>
      </c>
      <c r="C24" s="14" t="inlineStr">
        <is>
          <t>UI/UX Revamp</t>
        </is>
      </c>
      <c r="D24" s="17" t="inlineStr"/>
      <c r="E24" s="17" t="inlineStr"/>
      <c r="F24" s="17" t="inlineStr"/>
      <c r="G24" s="17" t="inlineStr"/>
      <c r="H24" s="17" t="inlineStr"/>
      <c r="I24" s="17" t="inlineStr"/>
    </row>
    <row r="25">
      <c r="B25" s="11" t="inlineStr">
        <is>
          <t>R-20</t>
        </is>
      </c>
      <c r="C25" s="12" t="inlineStr">
        <is>
          <t>Venture Funding Round</t>
        </is>
      </c>
      <c r="D25" s="10" t="inlineStr"/>
      <c r="E25" s="18" t="inlineStr">
        <is>
          <t>X</t>
        </is>
      </c>
      <c r="F25" s="10" t="inlineStr"/>
      <c r="G25" s="10" t="inlineStr"/>
      <c r="H25" s="10" t="inlineStr"/>
      <c r="I25" s="10" t="inlineStr"/>
    </row>
    <row r="26">
      <c r="B26" s="13" t="inlineStr">
        <is>
          <t>R-21</t>
        </is>
      </c>
      <c r="C26" s="14" t="inlineStr">
        <is>
          <t>Merger &amp; Acquisition (M&amp;A)</t>
        </is>
      </c>
      <c r="D26" s="17" t="inlineStr"/>
      <c r="E26" s="17" t="inlineStr"/>
      <c r="F26" s="17" t="inlineStr"/>
      <c r="G26" s="17" t="inlineStr"/>
      <c r="H26" s="18" t="inlineStr">
        <is>
          <t>X</t>
        </is>
      </c>
      <c r="I26" s="17" t="inlineStr"/>
    </row>
    <row r="27">
      <c r="B27" s="11" t="inlineStr">
        <is>
          <t>R-22</t>
        </is>
      </c>
      <c r="C27" s="12" t="inlineStr">
        <is>
          <t>Joint Venture / Partnership</t>
        </is>
      </c>
      <c r="D27" s="10" t="inlineStr"/>
      <c r="E27" s="10" t="inlineStr"/>
      <c r="F27" s="18" t="inlineStr">
        <is>
          <t>X</t>
        </is>
      </c>
      <c r="G27" s="10" t="inlineStr"/>
      <c r="H27" s="10" t="inlineStr"/>
      <c r="I27" s="10" t="inlineStr"/>
    </row>
    <row r="28">
      <c r="B28" s="13" t="inlineStr">
        <is>
          <t>R-23</t>
        </is>
      </c>
      <c r="C28" s="14" t="inlineStr">
        <is>
          <t>IPO / SEC Filings</t>
        </is>
      </c>
      <c r="D28" s="17" t="inlineStr"/>
      <c r="E28" s="17" t="inlineStr"/>
      <c r="F28" s="17" t="inlineStr"/>
      <c r="G28" s="17" t="inlineStr"/>
      <c r="H28" s="17" t="inlineStr"/>
      <c r="I28" s="17" t="inlineStr"/>
    </row>
    <row r="29">
      <c r="B29" s="11" t="inlineStr">
        <is>
          <t>R-24</t>
        </is>
      </c>
      <c r="C29" s="12" t="inlineStr">
        <is>
          <t>Ad Campaign Launch</t>
        </is>
      </c>
      <c r="D29" s="10" t="inlineStr"/>
      <c r="E29" s="18" t="inlineStr">
        <is>
          <t>X</t>
        </is>
      </c>
      <c r="F29" s="10" t="inlineStr"/>
      <c r="G29" s="10" t="inlineStr"/>
      <c r="H29" s="10" t="inlineStr"/>
      <c r="I29" s="10" t="inlineStr"/>
    </row>
    <row r="30">
      <c r="B30" s="13" t="inlineStr">
        <is>
          <t>R-25</t>
        </is>
      </c>
      <c r="C30" s="14" t="inlineStr">
        <is>
          <t>Event &amp; Webinar Hosting</t>
        </is>
      </c>
      <c r="D30" s="17" t="inlineStr"/>
      <c r="E30" s="17" t="inlineStr"/>
      <c r="F30" s="17" t="inlineStr"/>
      <c r="G30" s="17" t="inlineStr"/>
      <c r="H30" s="17" t="inlineStr"/>
      <c r="I30" s="17" t="inlineStr"/>
    </row>
    <row r="31">
      <c r="B31" s="11" t="inlineStr">
        <is>
          <t>R-26</t>
        </is>
      </c>
      <c r="C31" s="12" t="inlineStr">
        <is>
          <t>Thought Leadership Blog</t>
        </is>
      </c>
      <c r="D31" s="10" t="inlineStr"/>
      <c r="E31" s="10" t="inlineStr"/>
      <c r="F31" s="10" t="inlineStr"/>
      <c r="G31" s="10" t="inlineStr"/>
      <c r="H31" s="10" t="inlineStr"/>
      <c r="I31" s="10" t="inlineStr"/>
    </row>
    <row r="32">
      <c r="B32" s="13" t="inlineStr">
        <is>
          <t>R-27</t>
        </is>
      </c>
      <c r="C32" s="14" t="inlineStr">
        <is>
          <t>Social Media Activity</t>
        </is>
      </c>
      <c r="D32" s="17" t="inlineStr"/>
      <c r="E32" s="17" t="inlineStr"/>
      <c r="F32" s="17" t="inlineStr"/>
      <c r="G32" s="17" t="inlineStr"/>
      <c r="H32" s="17" t="inlineStr"/>
      <c r="I32" s="17" t="inlineStr"/>
    </row>
    <row r="33">
      <c r="B33" s="11" t="inlineStr">
        <is>
          <t>R-28</t>
        </is>
      </c>
      <c r="C33" s="12" t="inlineStr">
        <is>
          <t>C-Level / VP Hire</t>
        </is>
      </c>
      <c r="D33" s="18" t="inlineStr">
        <is>
          <t>X</t>
        </is>
      </c>
      <c r="E33" s="10" t="inlineStr"/>
      <c r="F33" s="10" t="inlineStr"/>
      <c r="G33" s="10" t="inlineStr"/>
      <c r="H33" s="10" t="inlineStr"/>
      <c r="I33" s="10" t="inlineStr"/>
    </row>
    <row r="34">
      <c r="B34" s="13" t="inlineStr">
        <is>
          <t>R-29</t>
        </is>
      </c>
      <c r="C34" s="14" t="inlineStr">
        <is>
          <t>Engineering Hiring Spike</t>
        </is>
      </c>
      <c r="D34" s="18" t="inlineStr">
        <is>
          <t>X</t>
        </is>
      </c>
      <c r="E34" s="18" t="inlineStr">
        <is>
          <t>X</t>
        </is>
      </c>
      <c r="F34" s="17" t="inlineStr"/>
      <c r="G34" s="17" t="inlineStr"/>
      <c r="H34" s="17" t="inlineStr"/>
      <c r="I34" s="17" t="inlineStr"/>
    </row>
    <row r="35">
      <c r="B35" s="11" t="inlineStr">
        <is>
          <t>R-30</t>
        </is>
      </c>
      <c r="C35" s="12" t="inlineStr">
        <is>
          <t>Sales/Marketing Expansion Hires</t>
        </is>
      </c>
      <c r="D35" s="10" t="inlineStr"/>
      <c r="E35" s="10" t="inlineStr"/>
      <c r="F35" s="18" t="inlineStr">
        <is>
          <t>X</t>
        </is>
      </c>
      <c r="G35" s="10" t="inlineStr"/>
      <c r="H35" s="10" t="inlineStr"/>
      <c r="I35" s="10" t="inlineStr"/>
    </row>
    <row r="36">
      <c r="B36" s="13" t="inlineStr">
        <is>
          <t>R-31</t>
        </is>
      </c>
      <c r="C36" s="14" t="inlineStr">
        <is>
          <t>Category Paradigm Shift</t>
        </is>
      </c>
      <c r="D36" s="17" t="inlineStr"/>
      <c r="E36" s="17" t="inlineStr"/>
      <c r="F36" s="17" t="inlineStr"/>
      <c r="G36" s="18" t="inlineStr">
        <is>
          <t>X</t>
        </is>
      </c>
      <c r="H36" s="17" t="inlineStr"/>
      <c r="I36" s="17" t="inlineStr"/>
    </row>
    <row r="37">
      <c r="B37" s="11" t="inlineStr">
        <is>
          <t>R-32</t>
        </is>
      </c>
      <c r="C37" s="12" t="inlineStr">
        <is>
          <t>Incremental Innovation</t>
        </is>
      </c>
      <c r="D37" s="10" t="inlineStr"/>
      <c r="E37" s="10" t="inlineStr"/>
      <c r="F37" s="10" t="inlineStr"/>
      <c r="G37" s="18" t="inlineStr">
        <is>
          <t>X</t>
        </is>
      </c>
      <c r="H37" s="10" t="inlineStr"/>
      <c r="I37" s="10" t="inlineStr"/>
    </row>
    <row r="38">
      <c r="B38" s="13" t="inlineStr">
        <is>
          <t>R-33</t>
        </is>
      </c>
      <c r="C38" s="14" t="inlineStr">
        <is>
          <t>Commodity / Maintenance</t>
        </is>
      </c>
      <c r="D38" s="17" t="inlineStr"/>
      <c r="E38" s="17" t="inlineStr"/>
      <c r="F38" s="17" t="inlineStr"/>
      <c r="G38" s="17" t="inlineStr"/>
      <c r="H38" s="17" t="inlineStr"/>
      <c r="I38" s="17" t="inlineStr"/>
    </row>
    <row r="39">
      <c r="B39" s="11" t="inlineStr">
        <is>
          <t>R-34</t>
        </is>
      </c>
      <c r="C39" s="12" t="inlineStr">
        <is>
          <t>Multi-Agent Frameworks</t>
        </is>
      </c>
      <c r="D39" s="18" t="inlineStr">
        <is>
          <t>X</t>
        </is>
      </c>
      <c r="E39" s="10" t="inlineStr"/>
      <c r="F39" s="10" t="inlineStr"/>
      <c r="G39" s="10" t="inlineStr"/>
      <c r="H39" s="10" t="inlineStr"/>
      <c r="I39" s="10" t="inlineStr"/>
    </row>
    <row r="40">
      <c r="B40" s="13" t="inlineStr">
        <is>
          <t>R-35</t>
        </is>
      </c>
      <c r="C40" s="14" t="inlineStr">
        <is>
          <t>Conversational Voice APIs</t>
        </is>
      </c>
      <c r="D40" s="18" t="inlineStr">
        <is>
          <t>X</t>
        </is>
      </c>
      <c r="E40" s="17" t="inlineStr"/>
      <c r="F40" s="17" t="inlineStr"/>
      <c r="G40" s="17" t="inlineStr"/>
      <c r="H40" s="17" t="inlineStr"/>
      <c r="I40" s="17" t="inlineStr"/>
    </row>
    <row r="41">
      <c r="B41" s="11" t="inlineStr">
        <is>
          <t>R-36</t>
        </is>
      </c>
      <c r="C41" s="12" t="inlineStr">
        <is>
          <t>Persistent Agent Memory</t>
        </is>
      </c>
      <c r="D41" s="18" t="inlineStr">
        <is>
          <t>X</t>
        </is>
      </c>
      <c r="E41" s="10" t="inlineStr"/>
      <c r="F41" s="10" t="inlineStr"/>
      <c r="G41" s="10" t="inlineStr"/>
      <c r="H41" s="10" t="inlineStr"/>
      <c r="I41" s="10" t="inlineStr"/>
    </row>
    <row r="42">
      <c r="B42" s="13" t="inlineStr">
        <is>
          <t>R-37</t>
        </is>
      </c>
      <c r="C42" s="14" t="inlineStr">
        <is>
          <t>Simple LLM Wrapper</t>
        </is>
      </c>
      <c r="D42" s="17" t="inlineStr"/>
      <c r="E42" s="17" t="inlineStr"/>
      <c r="F42" s="17" t="inlineStr"/>
      <c r="G42" s="17" t="inlineStr"/>
      <c r="H42" s="17" t="inlineStr"/>
      <c r="I42" s="17" t="inlineStr"/>
    </row>
    <row r="43">
      <c r="B43" s="11" t="inlineStr">
        <is>
          <t>R-38</t>
        </is>
      </c>
      <c r="C43" s="12" t="inlineStr">
        <is>
          <t>Quiet Enterprise Price Hike</t>
        </is>
      </c>
      <c r="D43" s="10" t="inlineStr"/>
      <c r="E43" s="10" t="inlineStr"/>
      <c r="F43" s="10" t="inlineStr"/>
      <c r="G43" s="10" t="inlineStr"/>
      <c r="H43" s="10" t="inlineStr"/>
      <c r="I43" s="10" t="inlineStr"/>
    </row>
    <row r="44">
      <c r="B44" s="13" t="inlineStr">
        <is>
          <t>R-39</t>
        </is>
      </c>
      <c r="C44" s="14" t="inlineStr">
        <is>
          <t>Per-Seat Startup Package</t>
        </is>
      </c>
      <c r="D44" s="17" t="inlineStr"/>
      <c r="E44" s="17" t="inlineStr"/>
      <c r="F44" s="17" t="inlineStr"/>
      <c r="G44" s="17" t="inlineStr"/>
      <c r="H44" s="17" t="inlineStr"/>
      <c r="I44" s="17" t="inlineStr"/>
    </row>
    <row r="45">
      <c r="B45" s="11" t="inlineStr">
        <is>
          <t>R-40</t>
        </is>
      </c>
      <c r="C45" s="12" t="inlineStr">
        <is>
          <t>Freemium Model Launch</t>
        </is>
      </c>
      <c r="D45" s="10" t="inlineStr"/>
      <c r="E45" s="10" t="inlineStr"/>
      <c r="F45" s="10" t="inlineStr"/>
      <c r="G45" s="10" t="inlineStr"/>
      <c r="H45" s="10" t="inlineStr"/>
      <c r="I45" s="10" t="inlineStr"/>
    </row>
    <row r="46">
      <c r="B46" s="13" t="inlineStr">
        <is>
          <t>R-41</t>
        </is>
      </c>
      <c r="C46" s="14" t="inlineStr">
        <is>
          <t>Contract Length Changes</t>
        </is>
      </c>
      <c r="D46" s="17" t="inlineStr"/>
      <c r="E46" s="17" t="inlineStr"/>
      <c r="F46" s="17" t="inlineStr"/>
      <c r="G46" s="17" t="inlineStr"/>
      <c r="H46" s="17" t="inlineStr"/>
      <c r="I46" s="17" t="inlineStr"/>
    </row>
    <row r="47">
      <c r="B47" s="11" t="inlineStr">
        <is>
          <t>R-42</t>
        </is>
      </c>
      <c r="C47" s="12" t="inlineStr">
        <is>
          <t>Autonomous Outcomes Narrative</t>
        </is>
      </c>
      <c r="D47" s="10" t="inlineStr"/>
      <c r="E47" s="10" t="inlineStr"/>
      <c r="F47" s="10" t="inlineStr"/>
      <c r="G47" s="10" t="inlineStr"/>
      <c r="H47" s="10" t="inlineStr"/>
      <c r="I47" s="10" t="inlineStr"/>
    </row>
    <row r="48">
      <c r="B48" s="13" t="inlineStr">
        <is>
          <t>R-43</t>
        </is>
      </c>
      <c r="C48" s="14" t="inlineStr">
        <is>
          <t>Traveler Joy / Experience</t>
        </is>
      </c>
      <c r="D48" s="17" t="inlineStr"/>
      <c r="E48" s="17" t="inlineStr"/>
      <c r="F48" s="17" t="inlineStr"/>
      <c r="G48" s="17" t="inlineStr"/>
      <c r="H48" s="17" t="inlineStr"/>
      <c r="I48" s="17" t="inlineStr"/>
    </row>
    <row r="49">
      <c r="B49" s="11" t="inlineStr">
        <is>
          <t>R-44</t>
        </is>
      </c>
      <c r="C49" s="12" t="inlineStr">
        <is>
          <t>Compliance &amp; Cost Control</t>
        </is>
      </c>
      <c r="D49" s="10" t="inlineStr"/>
      <c r="E49" s="10" t="inlineStr"/>
      <c r="F49" s="18" t="inlineStr">
        <is>
          <t>X</t>
        </is>
      </c>
      <c r="G49" s="10" t="inlineStr"/>
      <c r="H49" s="10" t="inlineStr"/>
      <c r="I49" s="10" t="inlineStr"/>
    </row>
    <row r="50">
      <c r="B50" s="13" t="inlineStr">
        <is>
          <t>R-45</t>
        </is>
      </c>
      <c r="C50" s="14" t="inlineStr">
        <is>
          <t>FinOps / Expense Efficiency</t>
        </is>
      </c>
      <c r="D50" s="17" t="inlineStr"/>
      <c r="E50" s="17" t="inlineStr"/>
      <c r="F50" s="17" t="inlineStr"/>
      <c r="G50" s="17" t="inlineStr"/>
      <c r="H50" s="17" t="inlineStr"/>
      <c r="I50" s="17" t="inlineStr"/>
    </row>
    <row r="51">
      <c r="B51" s="11" t="inlineStr">
        <is>
          <t>R-46</t>
        </is>
      </c>
      <c r="C51" s="12" t="inlineStr">
        <is>
          <t>Primary Technical Evidence</t>
        </is>
      </c>
      <c r="D51" s="10" t="inlineStr"/>
      <c r="E51" s="10" t="inlineStr"/>
      <c r="F51" s="10" t="inlineStr"/>
      <c r="G51" s="10" t="inlineStr"/>
      <c r="H51" s="10" t="inlineStr"/>
      <c r="I51" s="10" t="inlineStr"/>
    </row>
    <row r="52">
      <c r="B52" s="13" t="inlineStr">
        <is>
          <t>R-47</t>
        </is>
      </c>
      <c r="C52" s="14" t="inlineStr">
        <is>
          <t>Verified Pricing Snapshot</t>
        </is>
      </c>
      <c r="D52" s="17" t="inlineStr"/>
      <c r="E52" s="17" t="inlineStr"/>
      <c r="F52" s="17" t="inlineStr"/>
      <c r="G52" s="17" t="inlineStr"/>
      <c r="H52" s="17" t="inlineStr"/>
      <c r="I52" s="17" t="inlineStr"/>
    </row>
    <row r="53">
      <c r="B53" s="11" t="inlineStr">
        <is>
          <t>R-48</t>
        </is>
      </c>
      <c r="C53" s="12" t="inlineStr">
        <is>
          <t>Tier-1 Media Press</t>
        </is>
      </c>
      <c r="D53" s="10" t="inlineStr"/>
      <c r="E53" s="10" t="inlineStr"/>
      <c r="F53" s="10" t="inlineStr"/>
      <c r="G53" s="10" t="inlineStr"/>
      <c r="H53" s="10" t="inlineStr"/>
      <c r="I53" s="10" t="inlineStr"/>
    </row>
    <row r="54">
      <c r="B54" s="13" t="inlineStr">
        <is>
          <t>R-49</t>
        </is>
      </c>
      <c r="C54" s="14" t="inlineStr">
        <is>
          <t>Competitor Blog / PR Release</t>
        </is>
      </c>
      <c r="D54" s="17" t="inlineStr"/>
      <c r="E54" s="17" t="inlineStr"/>
      <c r="F54" s="17" t="inlineStr"/>
      <c r="G54" s="17" t="inlineStr"/>
      <c r="H54" s="17" t="inlineStr"/>
      <c r="I54" s="17" t="inlineStr"/>
    </row>
    <row r="55">
      <c r="B55" s="11" t="inlineStr">
        <is>
          <t>R-50</t>
        </is>
      </c>
      <c r="C55" s="12" t="inlineStr">
        <is>
          <t>Heavy Capital / Mega M&amp;A</t>
        </is>
      </c>
      <c r="D55" s="10" t="inlineStr"/>
      <c r="E55" s="18" t="inlineStr">
        <is>
          <t>X</t>
        </is>
      </c>
      <c r="F55" s="10" t="inlineStr"/>
      <c r="G55" s="10" t="inlineStr"/>
      <c r="H55" s="18" t="inlineStr">
        <is>
          <t>X</t>
        </is>
      </c>
      <c r="I55" s="10" t="inlineStr"/>
    </row>
    <row r="56">
      <c r="B56" s="13" t="inlineStr">
        <is>
          <t>R-51</t>
        </is>
      </c>
      <c r="C56" s="14" t="inlineStr">
        <is>
          <t>Moderate Funding / Series A</t>
        </is>
      </c>
      <c r="D56" s="17" t="inlineStr"/>
      <c r="E56" s="17" t="inlineStr"/>
      <c r="F56" s="17" t="inlineStr"/>
      <c r="G56" s="17" t="inlineStr"/>
      <c r="H56" s="17" t="inlineStr"/>
      <c r="I56" s="17" t="inlineStr"/>
    </row>
    <row r="57">
      <c r="B57" s="11" t="inlineStr">
        <is>
          <t>R-52</t>
        </is>
      </c>
      <c r="C57" s="12" t="inlineStr">
        <is>
          <t>Seed Funding</t>
        </is>
      </c>
      <c r="D57" s="10" t="inlineStr"/>
      <c r="E57" s="10" t="inlineStr"/>
      <c r="F57" s="10" t="inlineStr"/>
      <c r="G57" s="10" t="inlineStr"/>
      <c r="H57" s="10" t="inlineStr"/>
      <c r="I57" s="10" t="inlineStr"/>
    </row>
    <row r="58">
      <c r="B58" s="13" t="inlineStr">
        <is>
          <t>R-53</t>
        </is>
      </c>
      <c r="C58" s="14" t="inlineStr">
        <is>
          <t>Bootstrapped / Organic</t>
        </is>
      </c>
      <c r="D58" s="17" t="inlineStr"/>
      <c r="E58" s="17" t="inlineStr"/>
      <c r="F58" s="17" t="inlineStr"/>
      <c r="G58" s="17" t="inlineStr"/>
      <c r="H58" s="17" t="inlineStr"/>
      <c r="I58" s="17" t="inlineStr"/>
    </row>
    <row r="59">
      <c r="B59" s="11" t="inlineStr">
        <is>
          <t>R-54</t>
        </is>
      </c>
      <c r="C59" s="12" t="inlineStr">
        <is>
          <t>HN / Product Hunt #1</t>
        </is>
      </c>
      <c r="D59" s="10" t="inlineStr"/>
      <c r="E59" s="10" t="inlineStr"/>
      <c r="F59" s="10" t="inlineStr"/>
      <c r="G59" s="10" t="inlineStr"/>
      <c r="H59" s="10" t="inlineStr"/>
      <c r="I59" s="10" t="inlineStr"/>
    </row>
    <row r="60">
      <c r="B60" s="13" t="inlineStr">
        <is>
          <t>R-55</t>
        </is>
      </c>
      <c r="C60" s="14" t="inlineStr">
        <is>
          <t>Reddit / G2 Viral Backlash</t>
        </is>
      </c>
      <c r="D60" s="17" t="inlineStr"/>
      <c r="E60" s="17" t="inlineStr"/>
      <c r="F60" s="17" t="inlineStr"/>
      <c r="G60" s="17" t="inlineStr"/>
      <c r="H60" s="17" t="inlineStr"/>
      <c r="I60" s="17" t="inlineStr"/>
    </row>
    <row r="61">
      <c r="B61" s="11" t="inlineStr">
        <is>
          <t>R-56</t>
        </is>
      </c>
      <c r="C61" s="12" t="inlineStr">
        <is>
          <t>GitHub Star / Dev Spike</t>
        </is>
      </c>
      <c r="D61" s="10" t="inlineStr"/>
      <c r="E61" s="10" t="inlineStr"/>
      <c r="F61" s="10" t="inlineStr"/>
      <c r="G61" s="10" t="inlineStr"/>
      <c r="H61" s="10" t="inlineStr"/>
      <c r="I61" s="10" t="inlineStr"/>
    </row>
    <row r="62">
      <c r="B62" s="13" t="inlineStr">
        <is>
          <t>R-57</t>
        </is>
      </c>
      <c r="C62" s="14" t="inlineStr">
        <is>
          <t>Low Public Engagement</t>
        </is>
      </c>
      <c r="D62" s="17" t="inlineStr"/>
      <c r="E62" s="17" t="inlineStr"/>
      <c r="F62" s="17" t="inlineStr"/>
      <c r="G62" s="17" t="inlineStr"/>
      <c r="H62" s="17" t="inlineStr"/>
      <c r="I62" s="17" t="inlineStr"/>
    </row>
    <row r="63">
      <c r="B63" s="11" t="inlineStr">
        <is>
          <t>R-58</t>
        </is>
      </c>
      <c r="C63" s="12" t="inlineStr">
        <is>
          <t>High Ad Volume</t>
        </is>
      </c>
      <c r="D63" s="10" t="inlineStr"/>
      <c r="E63" s="10" t="inlineStr"/>
      <c r="F63" s="10" t="inlineStr"/>
      <c r="G63" s="10" t="inlineStr"/>
      <c r="H63" s="10" t="inlineStr"/>
      <c r="I63" s="10" t="inlineStr"/>
    </row>
    <row r="64">
      <c r="B64" s="13" t="inlineStr">
        <is>
          <t>R-59</t>
        </is>
      </c>
      <c r="C64" s="14" t="inlineStr">
        <is>
          <t>Medium Ad Volume</t>
        </is>
      </c>
      <c r="D64" s="17" t="inlineStr"/>
      <c r="E64" s="17" t="inlineStr"/>
      <c r="F64" s="17" t="inlineStr"/>
      <c r="G64" s="17" t="inlineStr"/>
      <c r="H64" s="17" t="inlineStr"/>
      <c r="I64" s="17" t="inlineStr"/>
    </row>
    <row r="65">
      <c r="B65" s="11" t="inlineStr">
        <is>
          <t>R-60</t>
        </is>
      </c>
      <c r="C65" s="12" t="inlineStr">
        <is>
          <t>Low Ad Volume</t>
        </is>
      </c>
      <c r="D65" s="10" t="inlineStr"/>
      <c r="E65" s="10" t="inlineStr"/>
      <c r="F65" s="10" t="inlineStr"/>
      <c r="G65" s="10" t="inlineStr"/>
      <c r="H65" s="10" t="inlineStr"/>
      <c r="I65" s="10" t="inlineStr"/>
    </row>
    <row r="66">
      <c r="B66" s="13" t="inlineStr">
        <is>
          <t>R-61</t>
        </is>
      </c>
      <c r="C66" s="14" t="inlineStr">
        <is>
          <t>AI Leadership Hire</t>
        </is>
      </c>
      <c r="D66" s="18" t="inlineStr">
        <is>
          <t>X</t>
        </is>
      </c>
      <c r="E66" s="17" t="inlineStr"/>
      <c r="F66" s="17" t="inlineStr"/>
      <c r="G66" s="17" t="inlineStr"/>
      <c r="H66" s="17" t="inlineStr"/>
      <c r="I66" s="17" t="inlineStr"/>
    </row>
    <row r="67">
      <c r="B67" s="11" t="inlineStr">
        <is>
          <t>R-62</t>
        </is>
      </c>
      <c r="C67" s="12" t="inlineStr">
        <is>
          <t>AI Hiring Spike</t>
        </is>
      </c>
      <c r="D67" s="18" t="inlineStr">
        <is>
          <t>X</t>
        </is>
      </c>
      <c r="E67" s="10" t="inlineStr"/>
      <c r="F67" s="10" t="inlineStr"/>
      <c r="G67" s="10" t="inlineStr"/>
      <c r="H67" s="10" t="inlineStr"/>
      <c r="I67" s="10" t="inlineStr"/>
    </row>
    <row r="68">
      <c r="B68" s="13" t="inlineStr">
        <is>
          <t>R-63</t>
        </is>
      </c>
      <c r="C68" s="14" t="inlineStr">
        <is>
          <t>AI Agent/Platform Release</t>
        </is>
      </c>
      <c r="D68" s="18" t="inlineStr">
        <is>
          <t>X</t>
        </is>
      </c>
      <c r="E68" s="17" t="inlineStr"/>
      <c r="F68" s="17" t="inlineStr"/>
      <c r="G68" s="17" t="inlineStr"/>
      <c r="H68" s="17" t="inlineStr"/>
      <c r="I68" s="17" t="inlineStr"/>
    </row>
    <row r="69">
      <c r="B69" s="11" t="inlineStr">
        <is>
          <t>R-64</t>
        </is>
      </c>
      <c r="C69" s="12" t="inlineStr">
        <is>
          <t>Massive Series C/D/E Funding</t>
        </is>
      </c>
      <c r="D69" s="10" t="inlineStr"/>
      <c r="E69" s="18" t="inlineStr">
        <is>
          <t>X</t>
        </is>
      </c>
      <c r="F69" s="10" t="inlineStr"/>
      <c r="G69" s="10" t="inlineStr"/>
      <c r="H69" s="10" t="inlineStr"/>
      <c r="I69" s="10" t="inlineStr"/>
    </row>
    <row r="70">
      <c r="B70" s="13" t="inlineStr">
        <is>
          <t>R-65</t>
        </is>
      </c>
      <c r="C70" s="14" t="inlineStr">
        <is>
          <t>New Geographic Office</t>
        </is>
      </c>
      <c r="D70" s="17" t="inlineStr"/>
      <c r="E70" s="18" t="inlineStr">
        <is>
          <t>X</t>
        </is>
      </c>
      <c r="F70" s="17" t="inlineStr"/>
      <c r="G70" s="17" t="inlineStr"/>
      <c r="H70" s="17" t="inlineStr"/>
      <c r="I70" s="17" t="inlineStr"/>
    </row>
    <row r="71">
      <c r="B71" s="11" t="inlineStr">
        <is>
          <t>R-66</t>
        </is>
      </c>
      <c r="C71" s="12" t="inlineStr">
        <is>
          <t>International Ad Campaign</t>
        </is>
      </c>
      <c r="D71" s="10" t="inlineStr"/>
      <c r="E71" s="18" t="inlineStr">
        <is>
          <t>X</t>
        </is>
      </c>
      <c r="F71" s="10" t="inlineStr"/>
      <c r="G71" s="10" t="inlineStr"/>
      <c r="H71" s="10" t="inlineStr"/>
      <c r="I71" s="10" t="inlineStr"/>
    </row>
    <row r="72">
      <c r="B72" s="13" t="inlineStr">
        <is>
          <t>R-67</t>
        </is>
      </c>
      <c r="C72" s="14" t="inlineStr">
        <is>
          <t>Enterprise Partnership</t>
        </is>
      </c>
      <c r="D72" s="17" t="inlineStr"/>
      <c r="E72" s="17" t="inlineStr"/>
      <c r="F72" s="18" t="inlineStr">
        <is>
          <t>X</t>
        </is>
      </c>
      <c r="G72" s="17" t="inlineStr"/>
      <c r="H72" s="17" t="inlineStr"/>
      <c r="I72" s="17" t="inlineStr"/>
    </row>
    <row r="73">
      <c r="B73" s="11" t="inlineStr">
        <is>
          <t>R-68</t>
        </is>
      </c>
      <c r="C73" s="12" t="inlineStr">
        <is>
          <t>Enterprise Feature Release</t>
        </is>
      </c>
      <c r="D73" s="10" t="inlineStr"/>
      <c r="E73" s="10" t="inlineStr"/>
      <c r="F73" s="18" t="inlineStr">
        <is>
          <t>X</t>
        </is>
      </c>
      <c r="G73" s="10" t="inlineStr"/>
      <c r="H73" s="10" t="inlineStr"/>
      <c r="I73" s="10" t="inlineStr"/>
    </row>
    <row r="74">
      <c r="B74" s="13" t="inlineStr">
        <is>
          <t>R-69</t>
        </is>
      </c>
      <c r="C74" s="14" t="inlineStr">
        <is>
          <t>Head of Enterprise Sales Hire</t>
        </is>
      </c>
      <c r="D74" s="17" t="inlineStr"/>
      <c r="E74" s="17" t="inlineStr"/>
      <c r="F74" s="18" t="inlineStr">
        <is>
          <t>X</t>
        </is>
      </c>
      <c r="G74" s="17" t="inlineStr"/>
      <c r="H74" s="17" t="inlineStr"/>
      <c r="I74" s="17" t="inlineStr"/>
    </row>
    <row r="75">
      <c r="B75" s="11" t="inlineStr">
        <is>
          <t>R-70</t>
        </is>
      </c>
      <c r="C75" s="12" t="inlineStr">
        <is>
          <t>Feature Matching</t>
        </is>
      </c>
      <c r="D75" s="10" t="inlineStr"/>
      <c r="E75" s="10" t="inlineStr"/>
      <c r="F75" s="10" t="inlineStr"/>
      <c r="G75" s="10" t="inlineStr"/>
      <c r="H75" s="10" t="inlineStr"/>
      <c r="I75" s="18" t="inlineStr">
        <is>
          <t>X</t>
        </is>
      </c>
    </row>
    <row r="76">
      <c r="B76" s="13" t="inlineStr">
        <is>
          <t>R-71</t>
        </is>
      </c>
      <c r="C76" s="14" t="inlineStr">
        <is>
          <t>Positioning Copying</t>
        </is>
      </c>
      <c r="D76" s="17" t="inlineStr"/>
      <c r="E76" s="17" t="inlineStr"/>
      <c r="F76" s="17" t="inlineStr"/>
      <c r="G76" s="17" t="inlineStr"/>
      <c r="H76" s="17" t="inlineStr"/>
      <c r="I76" s="18" t="inlineStr">
        <is>
          <t>X</t>
        </is>
      </c>
    </row>
    <row r="77">
      <c r="B77" s="11" t="inlineStr">
        <is>
          <t>R-72</t>
        </is>
      </c>
      <c r="C77" s="12" t="inlineStr">
        <is>
          <t>Price Matching / Discounting</t>
        </is>
      </c>
      <c r="D77" s="10" t="inlineStr"/>
      <c r="E77" s="10" t="inlineStr"/>
      <c r="F77" s="10" t="inlineStr"/>
      <c r="G77" s="10" t="inlineStr"/>
      <c r="H77" s="10" t="inlineStr"/>
      <c r="I77" s="18" t="inlineStr">
        <is>
          <t>X</t>
        </is>
      </c>
    </row>
    <row r="78">
      <c r="B78" s="13" t="inlineStr">
        <is>
          <t>R-73</t>
        </is>
      </c>
      <c r="C78" s="14" t="inlineStr">
        <is>
          <t>Competitor Acquisition</t>
        </is>
      </c>
      <c r="D78" s="17" t="inlineStr"/>
      <c r="E78" s="17" t="inlineStr"/>
      <c r="F78" s="17" t="inlineStr"/>
      <c r="G78" s="17" t="inlineStr"/>
      <c r="H78" s="18" t="inlineStr">
        <is>
          <t>X</t>
        </is>
      </c>
      <c r="I78" s="17" t="inlineStr"/>
    </row>
    <row r="79">
      <c r="B79" s="11" t="inlineStr">
        <is>
          <t>R-74</t>
        </is>
      </c>
      <c r="C79" s="12" t="inlineStr">
        <is>
          <t>Product Integration</t>
        </is>
      </c>
      <c r="D79" s="10" t="inlineStr"/>
      <c r="E79" s="10" t="inlineStr"/>
      <c r="F79" s="10" t="inlineStr"/>
      <c r="G79" s="10" t="inlineStr"/>
      <c r="H79" s="18" t="inlineStr">
        <is>
          <t>X</t>
        </is>
      </c>
      <c r="I79" s="10" t="inlineStr"/>
    </row>
    <row r="80">
      <c r="B80" s="13" t="inlineStr">
        <is>
          <t>R-75</t>
        </is>
      </c>
      <c r="C80" s="14" t="inlineStr">
        <is>
          <t>Unified Platform Rebrand</t>
        </is>
      </c>
      <c r="D80" s="17" t="inlineStr"/>
      <c r="E80" s="17" t="inlineStr"/>
      <c r="F80" s="17" t="inlineStr"/>
      <c r="G80" s="17" t="inlineStr"/>
      <c r="H80" s="18" t="inlineStr">
        <is>
          <t>X</t>
        </is>
      </c>
      <c r="I80" s="17" t="inlineStr"/>
    </row>
    <row r="81">
      <c r="B81" s="11" t="inlineStr">
        <is>
          <t>R-76</t>
        </is>
      </c>
      <c r="C81" s="12" t="inlineStr">
        <is>
          <t>Open-Source Tool Release</t>
        </is>
      </c>
      <c r="D81" s="10" t="inlineStr"/>
      <c r="E81" s="10" t="inlineStr"/>
      <c r="F81" s="10" t="inlineStr"/>
      <c r="G81" s="10" t="inlineStr"/>
      <c r="H81" s="10" t="inlineStr"/>
      <c r="I81" s="10" t="inlineStr"/>
    </row>
    <row r="82">
      <c r="B82" s="13" t="inlineStr">
        <is>
          <t>R-77</t>
        </is>
      </c>
      <c r="C82" s="14" t="inlineStr">
        <is>
          <t>Developer Advocate Hires</t>
        </is>
      </c>
      <c r="D82" s="17" t="inlineStr"/>
      <c r="E82" s="17" t="inlineStr"/>
      <c r="F82" s="17" t="inlineStr"/>
      <c r="G82" s="17" t="inlineStr"/>
      <c r="H82" s="17" t="inlineStr"/>
      <c r="I82" s="17" t="inlineStr"/>
    </row>
    <row r="83">
      <c r="B83" s="11" t="inlineStr">
        <is>
          <t>R-78</t>
        </is>
      </c>
      <c r="C83" s="12" t="inlineStr">
        <is>
          <t>AI Safety &amp; Compliance Filings</t>
        </is>
      </c>
      <c r="D83" s="10" t="inlineStr"/>
      <c r="E83" s="10" t="inlineStr"/>
      <c r="F83" s="10" t="inlineStr"/>
      <c r="G83" s="10" t="inlineStr"/>
      <c r="H83" s="10" t="inlineStr"/>
      <c r="I83" s="10" t="inlineStr"/>
    </row>
    <row r="84">
      <c r="B84" s="13" t="inlineStr">
        <is>
          <t>R-79</t>
        </is>
      </c>
      <c r="C84" s="14" t="inlineStr">
        <is>
          <t>Sustainability Travel Narrative</t>
        </is>
      </c>
      <c r="D84" s="17" t="inlineStr"/>
      <c r="E84" s="17" t="inlineStr"/>
      <c r="F84" s="17" t="inlineStr"/>
      <c r="G84" s="17" t="inlineStr"/>
      <c r="H84" s="17" t="inlineStr"/>
      <c r="I84" s="17" t="inlineStr"/>
    </row>
    <row r="85">
      <c r="B85" s="11" t="inlineStr">
        <is>
          <t>R-80</t>
        </is>
      </c>
      <c r="C85" s="12" t="inlineStr">
        <is>
          <t>Legal &amp; Regulatory Audits</t>
        </is>
      </c>
      <c r="D85" s="10" t="inlineStr"/>
      <c r="E85" s="10" t="inlineStr"/>
      <c r="F85" s="10" t="inlineStr"/>
      <c r="G85" s="10" t="inlineStr"/>
      <c r="H85" s="10" t="inlineStr"/>
      <c r="I85" s="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8" customWidth="1" min="4" max="4"/>
    <col width="31" customWidth="1" min="5" max="5"/>
    <col width="20" customWidth="1" min="6" max="6"/>
    <col width="19" customWidth="1" min="7" max="7"/>
    <col width="18" customWidth="1" min="8" max="8"/>
    <col width="33" customWidth="1" min="9" max="9"/>
  </cols>
  <sheetData>
    <row r="1"/>
    <row r="2">
      <c r="B2" s="1" t="inlineStr">
        <is>
          <t>Verifiable Worked Curation Examples</t>
        </is>
      </c>
    </row>
    <row r="3">
      <c r="B3" s="2" t="inlineStr">
        <is>
          <t>Examples modeled using real online articles. Verification links provided.</t>
        </is>
      </c>
    </row>
    <row r="4"/>
    <row r="5">
      <c r="B5" s="3" t="inlineStr">
        <is>
          <t>Example 1: Navan Acquires Brazil's Smartrips (May 2024)</t>
        </is>
      </c>
    </row>
    <row r="6">
      <c r="B6" s="19" t="inlineStr">
        <is>
          <t>Article Link: https://www.citybiz.co/article/862501/navan-expands-latin-america-presence-with-acquisition-of-brazils-smartrips/</t>
        </is>
      </c>
    </row>
    <row r="7"/>
    <row r="8">
      <c r="B8" s="6" t="inlineStr">
        <is>
          <t>Pillar Code</t>
        </is>
      </c>
      <c r="C8" s="6" t="inlineStr">
        <is>
          <t>Rubric ID</t>
        </is>
      </c>
      <c r="D8" s="6" t="inlineStr">
        <is>
          <t>Rubric Name</t>
        </is>
      </c>
      <c r="E8" s="7" t="inlineStr">
        <is>
          <t>Max Points</t>
        </is>
      </c>
      <c r="F8" s="7" t="inlineStr">
        <is>
          <t>Title Match (0/1)</t>
        </is>
      </c>
      <c r="G8" s="7" t="inlineStr">
        <is>
          <t>Body Match (0/1)</t>
        </is>
      </c>
      <c r="H8" s="7" t="inlineStr">
        <is>
          <t>Calculated Points</t>
        </is>
      </c>
      <c r="I8" s="7" t="inlineStr">
        <is>
          <t>Single Precedence Applied</t>
        </is>
      </c>
    </row>
    <row r="9">
      <c r="B9" s="8" t="inlineStr">
        <is>
          <t>CI</t>
        </is>
      </c>
      <c r="C9" s="8" t="inlineStr">
        <is>
          <t>R-01</t>
        </is>
      </c>
      <c r="D9" s="9" t="inlineStr">
        <is>
          <t>Core Competitor</t>
        </is>
      </c>
      <c r="E9" s="10" t="n">
        <v>10</v>
      </c>
      <c r="F9" s="10" t="n">
        <v>1</v>
      </c>
      <c r="G9" s="10" t="n">
        <v>1</v>
      </c>
      <c r="H9" s="9" t="n">
        <v>10</v>
      </c>
      <c r="I9" s="9" t="inlineStr">
        <is>
          <t>Competitor Tier (SINGLE)</t>
        </is>
      </c>
    </row>
    <row r="10">
      <c r="B10" s="8" t="inlineStr">
        <is>
          <t>CI</t>
        </is>
      </c>
      <c r="C10" s="8" t="inlineStr">
        <is>
          <t>R-06</t>
        </is>
      </c>
      <c r="D10" s="9" t="inlineStr">
        <is>
          <t>Traditional Travel Booking</t>
        </is>
      </c>
      <c r="E10" s="10" t="n">
        <v>6</v>
      </c>
      <c r="F10" s="10" t="n">
        <v>0</v>
      </c>
      <c r="G10" s="10" t="n">
        <v>1</v>
      </c>
      <c r="H10" s="9" t="n">
        <v>3.6</v>
      </c>
      <c r="I10" s="9" t="inlineStr">
        <is>
          <t>Product Overlap (SINGLE)</t>
        </is>
      </c>
    </row>
    <row r="11">
      <c r="B11" s="8" t="inlineStr">
        <is>
          <t>CI</t>
        </is>
      </c>
      <c r="C11" s="8" t="inlineStr">
        <is>
          <t>R-10</t>
        </is>
      </c>
      <c r="D11" s="9" t="inlineStr">
        <is>
          <t>SMBs &amp; Startups</t>
        </is>
      </c>
      <c r="E11" s="10" t="n">
        <v>7</v>
      </c>
      <c r="F11" s="10" t="n">
        <v>0</v>
      </c>
      <c r="G11" s="10" t="n">
        <v>1</v>
      </c>
      <c r="H11" s="9" t="n">
        <v>4.2</v>
      </c>
      <c r="I11" s="9" t="inlineStr">
        <is>
          <t>Target Audience (SINGLE)</t>
        </is>
      </c>
    </row>
    <row r="12">
      <c r="B12" s="8" t="inlineStr">
        <is>
          <t>CI</t>
        </is>
      </c>
      <c r="C12" s="8" t="inlineStr">
        <is>
          <t>R-14</t>
        </is>
      </c>
      <c r="D12" s="9" t="inlineStr">
        <is>
          <t>European / APAC / LatAm Scaling</t>
        </is>
      </c>
      <c r="E12" s="10" t="n">
        <v>5</v>
      </c>
      <c r="F12" s="10" t="n">
        <v>1</v>
      </c>
      <c r="G12" s="10" t="n">
        <v>1</v>
      </c>
      <c r="H12" s="9" t="n">
        <v>5</v>
      </c>
      <c r="I12" s="9" t="inlineStr">
        <is>
          <t>Geographic Focus (SINGLE)</t>
        </is>
      </c>
    </row>
    <row r="13">
      <c r="B13" s="8" t="inlineStr">
        <is>
          <t>SI</t>
        </is>
      </c>
      <c r="C13" s="8" t="inlineStr">
        <is>
          <t>R-21</t>
        </is>
      </c>
      <c r="D13" s="9" t="inlineStr">
        <is>
          <t>Merger &amp; Acquisition (M&amp;A)</t>
        </is>
      </c>
      <c r="E13" s="10" t="n">
        <v>15</v>
      </c>
      <c r="F13" s="10" t="n">
        <v>1</v>
      </c>
      <c r="G13" s="10" t="n">
        <v>1</v>
      </c>
      <c r="H13" s="9" t="n">
        <v>15</v>
      </c>
      <c r="I13" s="9" t="inlineStr">
        <is>
          <t>Event Priority (SINGLE)</t>
        </is>
      </c>
    </row>
    <row r="14">
      <c r="B14" s="8" t="inlineStr">
        <is>
          <t>SI</t>
        </is>
      </c>
      <c r="C14" s="8" t="inlineStr">
        <is>
          <t>R-32</t>
        </is>
      </c>
      <c r="D14" s="9" t="inlineStr">
        <is>
          <t>Incremental Innovation</t>
        </is>
      </c>
      <c r="E14" s="10" t="n">
        <v>5</v>
      </c>
      <c r="F14" s="10" t="n">
        <v>0</v>
      </c>
      <c r="G14" s="10" t="n">
        <v>1</v>
      </c>
      <c r="H14" s="9" t="n">
        <v>3</v>
      </c>
      <c r="I14" s="9" t="inlineStr">
        <is>
          <t>Disruption Scale (SINGLE)</t>
        </is>
      </c>
    </row>
    <row r="15">
      <c r="B15" s="8" t="inlineStr">
        <is>
          <t>EM</t>
        </is>
      </c>
      <c r="C15" s="8" t="inlineStr">
        <is>
          <t>R-48</t>
        </is>
      </c>
      <c r="D15" s="9" t="inlineStr">
        <is>
          <t>Tier-1 Media Press</t>
        </is>
      </c>
      <c r="E15" s="10" t="n">
        <v>7</v>
      </c>
      <c r="F15" s="10" t="n">
        <v>0</v>
      </c>
      <c r="G15" s="10" t="n">
        <v>1</v>
      </c>
      <c r="H15" s="9" t="n">
        <v>4.2</v>
      </c>
      <c r="I15" s="9" t="inlineStr">
        <is>
          <t>Evidence Class (SINGLE)</t>
        </is>
      </c>
    </row>
    <row r="16">
      <c r="B16" s="8" t="inlineStr">
        <is>
          <t>EM</t>
        </is>
      </c>
      <c r="C16" s="8" t="inlineStr">
        <is>
          <t>R-50</t>
        </is>
      </c>
      <c r="D16" s="9" t="inlineStr">
        <is>
          <t>Heavy Capital / Mega M&amp;A</t>
        </is>
      </c>
      <c r="E16" s="10" t="n">
        <v>10</v>
      </c>
      <c r="F16" s="10" t="n">
        <v>1</v>
      </c>
      <c r="G16" s="10" t="n">
        <v>1</v>
      </c>
      <c r="H16" s="9" t="n">
        <v>10</v>
      </c>
      <c r="I16" s="9" t="inlineStr">
        <is>
          <t>Funding Strength (SINGLE)</t>
        </is>
      </c>
    </row>
    <row r="17">
      <c r="B17" s="8" t="inlineStr">
        <is>
          <t>EM</t>
        </is>
      </c>
      <c r="C17" s="8" t="inlineStr">
        <is>
          <t>R-57</t>
        </is>
      </c>
      <c r="D17" s="9" t="inlineStr">
        <is>
          <t>Low Public Engagement</t>
        </is>
      </c>
      <c r="E17" s="10" t="n">
        <v>2</v>
      </c>
      <c r="F17" s="10" t="n">
        <v>0</v>
      </c>
      <c r="G17" s="10" t="n">
        <v>1</v>
      </c>
      <c r="H17" s="9" t="n">
        <v>1.2</v>
      </c>
      <c r="I17" s="9" t="inlineStr">
        <is>
          <t>Market Reception (SINGLE)</t>
        </is>
      </c>
    </row>
    <row r="18">
      <c r="B18" s="8" t="inlineStr">
        <is>
          <t>EM</t>
        </is>
      </c>
      <c r="C18" s="8" t="inlineStr">
        <is>
          <t>R-73</t>
        </is>
      </c>
      <c r="D18" s="9" t="inlineStr">
        <is>
          <t>Competitor Acquisition</t>
        </is>
      </c>
      <c r="E18" s="10" t="n">
        <v>12</v>
      </c>
      <c r="F18" s="10" t="n">
        <v>1</v>
      </c>
      <c r="G18" s="10" t="n">
        <v>1</v>
      </c>
      <c r="H18" s="9" t="n">
        <v>12</v>
      </c>
      <c r="I18" s="9" t="inlineStr">
        <is>
          <t>Platform Consolidation (MULTI)</t>
        </is>
      </c>
    </row>
    <row r="19">
      <c r="B19" s="8" t="inlineStr">
        <is>
          <t>EM</t>
        </is>
      </c>
      <c r="C19" s="8" t="inlineStr">
        <is>
          <t>R-74</t>
        </is>
      </c>
      <c r="D19" s="9" t="inlineStr">
        <is>
          <t>Product Integration</t>
        </is>
      </c>
      <c r="E19" s="10" t="n">
        <v>8</v>
      </c>
      <c r="F19" s="10" t="n">
        <v>0</v>
      </c>
      <c r="G19" s="10" t="n">
        <v>1</v>
      </c>
      <c r="H19" s="9" t="n">
        <v>4.8</v>
      </c>
      <c r="I19" s="9" t="inlineStr">
        <is>
          <t>Platform Consolidation (MULTI)</t>
        </is>
      </c>
    </row>
    <row r="20"/>
    <row r="21">
      <c r="B21" s="20" t="inlineStr">
        <is>
          <t>CI Capped Score (Max 30):</t>
        </is>
      </c>
      <c r="D21" s="20">
        <f>MIN(30, SUMIF(B9:B19, "CI", H9:H19))</f>
        <v/>
      </c>
    </row>
    <row r="22">
      <c r="B22" s="20" t="inlineStr">
        <is>
          <t>SI Capped Score (Max 40):</t>
        </is>
      </c>
      <c r="D22" s="20">
        <f>MIN(40, SUMIF(B9:B19, "SI", H9:H19))</f>
        <v/>
      </c>
    </row>
    <row r="23">
      <c r="B23" s="20" t="inlineStr">
        <is>
          <t>EM Capped Score (Max 30):</t>
        </is>
      </c>
      <c r="D23" s="20">
        <f>MIN(30, SUMIF(B9:B19, "EM", H9:H19))</f>
        <v/>
      </c>
    </row>
    <row r="24">
      <c r="B24" s="20" t="inlineStr">
        <is>
          <t>Archetype Bonus (Platform Consolidation Active):</t>
        </is>
      </c>
      <c r="D24" s="20" t="n">
        <v>10</v>
      </c>
    </row>
    <row r="25">
      <c r="B25" s="20" t="inlineStr">
        <is>
          <t>Persistence Bonus (Calculated):</t>
        </is>
      </c>
      <c r="D25" s="20" t="n">
        <v>5</v>
      </c>
    </row>
    <row r="26">
      <c r="B26" s="20" t="inlineStr">
        <is>
          <t>Decay Factor / Context:</t>
        </is>
      </c>
      <c r="D26" s="20" t="inlineStr">
        <is>
          <t>1.0 / 1.0 (No decay, high relevance)</t>
        </is>
      </c>
    </row>
    <row r="27">
      <c r="B27" s="21" t="inlineStr">
        <is>
          <t>FINAL ARTICLE SCORE:</t>
        </is>
      </c>
      <c r="D27" s="21">
        <f>MIN(100, (D21+D22+D23+D24+D25)*1.0)</f>
        <v/>
      </c>
      <c r="E27" s="22" t="inlineStr">
        <is>
          <t>🔴 Critical Alert (Score 86)</t>
        </is>
      </c>
    </row>
    <row r="28"/>
    <row r="29"/>
    <row r="30">
      <c r="B30" s="3" t="inlineStr">
        <is>
          <t>Example 2: Navan Stock Price and Earnings (Barron's, Nasdaq IPO Prep)</t>
        </is>
      </c>
    </row>
    <row r="31">
      <c r="B31" s="19" t="inlineStr">
        <is>
          <t>Article Link: https://www.barrons.com/articles/navan-earnings-stock-price-2de35b33</t>
        </is>
      </c>
    </row>
    <row r="32"/>
    <row r="33">
      <c r="B33" s="6" t="inlineStr">
        <is>
          <t>Pillar Code</t>
        </is>
      </c>
      <c r="C33" s="6" t="inlineStr">
        <is>
          <t>Rubric ID</t>
        </is>
      </c>
      <c r="D33" s="6" t="inlineStr">
        <is>
          <t>Rubric Name</t>
        </is>
      </c>
      <c r="E33" s="7" t="inlineStr">
        <is>
          <t>Max Points</t>
        </is>
      </c>
      <c r="F33" s="7" t="inlineStr">
        <is>
          <t>Title Match (0/1)</t>
        </is>
      </c>
      <c r="G33" s="7" t="inlineStr">
        <is>
          <t>Body Match (0/1)</t>
        </is>
      </c>
      <c r="H33" s="7" t="inlineStr">
        <is>
          <t>Calculated Points</t>
        </is>
      </c>
      <c r="I33" s="7" t="inlineStr">
        <is>
          <t>Single Precedence Applied</t>
        </is>
      </c>
    </row>
    <row r="34">
      <c r="B34" s="8" t="inlineStr">
        <is>
          <t>CI</t>
        </is>
      </c>
      <c r="C34" s="8" t="inlineStr">
        <is>
          <t>R-01</t>
        </is>
      </c>
      <c r="D34" s="9" t="inlineStr">
        <is>
          <t>Core Competitor</t>
        </is>
      </c>
      <c r="E34" s="10" t="n">
        <v>10</v>
      </c>
      <c r="F34" s="10" t="n">
        <v>1</v>
      </c>
      <c r="G34" s="10" t="n">
        <v>1</v>
      </c>
      <c r="H34" s="9" t="n">
        <v>10</v>
      </c>
      <c r="I34" s="9" t="inlineStr">
        <is>
          <t>Competitor Tier (SINGLE)</t>
        </is>
      </c>
    </row>
    <row r="35">
      <c r="B35" s="8" t="inlineStr">
        <is>
          <t>CI</t>
        </is>
      </c>
      <c r="C35" s="8" t="inlineStr">
        <is>
          <t>R-07</t>
        </is>
      </c>
      <c r="D35" s="9" t="inlineStr">
        <is>
          <t>Expense &amp; Spend Controls</t>
        </is>
      </c>
      <c r="E35" s="10" t="n">
        <v>5</v>
      </c>
      <c r="F35" s="10" t="n">
        <v>0</v>
      </c>
      <c r="G35" s="10" t="n">
        <v>1</v>
      </c>
      <c r="H35" s="9" t="n">
        <v>3</v>
      </c>
      <c r="I35" s="9" t="inlineStr">
        <is>
          <t>Product Overlap (SINGLE)</t>
        </is>
      </c>
    </row>
    <row r="36">
      <c r="B36" s="8" t="inlineStr">
        <is>
          <t>CI</t>
        </is>
      </c>
      <c r="C36" s="8" t="inlineStr">
        <is>
          <t>R-09</t>
        </is>
      </c>
      <c r="D36" s="9" t="inlineStr">
        <is>
          <t>US Enterprise Buyers</t>
        </is>
      </c>
      <c r="E36" s="10" t="n">
        <v>10</v>
      </c>
      <c r="F36" s="10" t="n">
        <v>0</v>
      </c>
      <c r="G36" s="10" t="n">
        <v>1</v>
      </c>
      <c r="H36" s="9" t="n">
        <v>6</v>
      </c>
      <c r="I36" s="9" t="inlineStr">
        <is>
          <t>Target Audience (SINGLE)</t>
        </is>
      </c>
    </row>
    <row r="37">
      <c r="B37" s="8" t="inlineStr">
        <is>
          <t>CI</t>
        </is>
      </c>
      <c r="C37" s="8" t="inlineStr">
        <is>
          <t>R-13</t>
        </is>
      </c>
      <c r="D37" s="9" t="inlineStr">
        <is>
          <t>US Launch / US Core</t>
        </is>
      </c>
      <c r="E37" s="10" t="n">
        <v>10</v>
      </c>
      <c r="F37" s="10" t="n">
        <v>1</v>
      </c>
      <c r="G37" s="10" t="n">
        <v>1</v>
      </c>
      <c r="H37" s="9" t="n">
        <v>10</v>
      </c>
      <c r="I37" s="9" t="inlineStr">
        <is>
          <t>Geographic Focus (SINGLE)</t>
        </is>
      </c>
    </row>
    <row r="38">
      <c r="B38" s="8" t="inlineStr">
        <is>
          <t>SI</t>
        </is>
      </c>
      <c r="C38" s="8" t="inlineStr">
        <is>
          <t>R-23</t>
        </is>
      </c>
      <c r="D38" s="9" t="inlineStr">
        <is>
          <t>IPO / SEC Filings</t>
        </is>
      </c>
      <c r="E38" s="10" t="n">
        <v>12</v>
      </c>
      <c r="F38" s="10" t="n">
        <v>1</v>
      </c>
      <c r="G38" s="10" t="n">
        <v>1</v>
      </c>
      <c r="H38" s="9" t="n">
        <v>12</v>
      </c>
      <c r="I38" s="9" t="inlineStr">
        <is>
          <t>Event Priority (SINGLE)</t>
        </is>
      </c>
    </row>
    <row r="39">
      <c r="B39" s="8" t="inlineStr">
        <is>
          <t>SI</t>
        </is>
      </c>
      <c r="C39" s="8" t="inlineStr">
        <is>
          <t>R-33</t>
        </is>
      </c>
      <c r="D39" s="9" t="inlineStr">
        <is>
          <t>Commodity / Maintenance</t>
        </is>
      </c>
      <c r="E39" s="10" t="n">
        <v>1</v>
      </c>
      <c r="F39" s="10" t="n">
        <v>0</v>
      </c>
      <c r="G39" s="10" t="n">
        <v>1</v>
      </c>
      <c r="H39" s="9" t="n">
        <v>0.6</v>
      </c>
      <c r="I39" s="9" t="inlineStr">
        <is>
          <t>Disruption Scale (SINGLE)</t>
        </is>
      </c>
    </row>
    <row r="40">
      <c r="B40" s="8" t="inlineStr">
        <is>
          <t>EM</t>
        </is>
      </c>
      <c r="C40" s="8" t="inlineStr">
        <is>
          <t>R-48</t>
        </is>
      </c>
      <c r="D40" s="9" t="inlineStr">
        <is>
          <t>Tier-1 Media Press</t>
        </is>
      </c>
      <c r="E40" s="10" t="n">
        <v>7</v>
      </c>
      <c r="F40" s="10" t="n">
        <v>1</v>
      </c>
      <c r="G40" s="10" t="n">
        <v>1</v>
      </c>
      <c r="H40" s="9" t="n">
        <v>7</v>
      </c>
      <c r="I40" s="9" t="inlineStr">
        <is>
          <t>Evidence Class (SINGLE)</t>
        </is>
      </c>
    </row>
    <row r="41">
      <c r="B41" s="8" t="inlineStr">
        <is>
          <t>EM</t>
        </is>
      </c>
      <c r="C41" s="8" t="inlineStr">
        <is>
          <t>R-50</t>
        </is>
      </c>
      <c r="D41" s="9" t="inlineStr">
        <is>
          <t>Heavy Capital / Mega M&amp;A</t>
        </is>
      </c>
      <c r="E41" s="10" t="n">
        <v>10</v>
      </c>
      <c r="F41" s="10" t="n">
        <v>1</v>
      </c>
      <c r="G41" s="10" t="n">
        <v>1</v>
      </c>
      <c r="H41" s="9" t="n">
        <v>10</v>
      </c>
      <c r="I41" s="9" t="inlineStr">
        <is>
          <t>Funding Strength (SINGLE)</t>
        </is>
      </c>
    </row>
    <row r="42">
      <c r="B42" s="8" t="inlineStr">
        <is>
          <t>EM</t>
        </is>
      </c>
      <c r="C42" s="8" t="inlineStr">
        <is>
          <t>R-57</t>
        </is>
      </c>
      <c r="D42" s="9" t="inlineStr">
        <is>
          <t>Low Public Engagement</t>
        </is>
      </c>
      <c r="E42" s="10" t="n">
        <v>2</v>
      </c>
      <c r="F42" s="10" t="n">
        <v>0</v>
      </c>
      <c r="G42" s="10" t="n">
        <v>1</v>
      </c>
      <c r="H42" s="9" t="n">
        <v>1.2</v>
      </c>
      <c r="I42" s="9" t="inlineStr">
        <is>
          <t>Market Reception (SINGLE)</t>
        </is>
      </c>
    </row>
    <row r="43"/>
    <row r="44">
      <c r="B44" s="20" t="inlineStr">
        <is>
          <t>CI Capped Score (Max 30):</t>
        </is>
      </c>
      <c r="D44" s="20">
        <f>MIN(30, SUMIF(B34:B42, "CI", H34:H42))</f>
        <v/>
      </c>
    </row>
    <row r="45">
      <c r="B45" s="20" t="inlineStr">
        <is>
          <t>SI Capped Score (Max 40):</t>
        </is>
      </c>
      <c r="D45" s="20">
        <f>MIN(40, SUMIF(B34:B42, "SI", H34:H42))</f>
        <v/>
      </c>
    </row>
    <row r="46">
      <c r="B46" s="20" t="inlineStr">
        <is>
          <t>EM Capped Score (Max 30):</t>
        </is>
      </c>
      <c r="D46" s="20">
        <f>MIN(30, SUMIF(B34:B42, "EM", H34:H42))</f>
        <v/>
      </c>
    </row>
    <row r="47">
      <c r="B47" s="20" t="inlineStr">
        <is>
          <t>Archetype Bonus / Persistence:</t>
        </is>
      </c>
      <c r="D47" s="20" t="inlineStr">
        <is>
          <t>0 / 5 (No sequence triggered, persistence active)</t>
        </is>
      </c>
    </row>
    <row r="48">
      <c r="B48" s="20" t="inlineStr">
        <is>
          <t>Decay Factor / Context:</t>
        </is>
      </c>
      <c r="D48" s="20" t="inlineStr">
        <is>
          <t>1.0 / 1.0 (No decay, high relevance)</t>
        </is>
      </c>
    </row>
    <row r="49">
      <c r="B49" s="21" t="inlineStr">
        <is>
          <t>FINAL ARTICLE SCORE:</t>
        </is>
      </c>
      <c r="D49" s="21">
        <f>MIN(100, (D44+D45+D46+5)*1.0)</f>
        <v/>
      </c>
      <c r="E49" s="23" t="inlineStr">
        <is>
          <t>🟡 High Importance (Score 65)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18" customWidth="1" min="4" max="4"/>
    <col width="11" customWidth="1" min="5" max="5"/>
    <col width="25" customWidth="1" min="6" max="6"/>
    <col width="10" customWidth="1" min="7" max="7"/>
    <col width="10" customWidth="1" min="8" max="8"/>
    <col width="15" customWidth="1" min="9" max="9"/>
    <col width="18" customWidth="1" min="10" max="10"/>
    <col width="18" customWidth="1" min="11" max="11"/>
    <col width="30" customWidth="1" min="12" max="12"/>
    <col width="30" customWidth="1" min="13" max="13"/>
    <col width="18" customWidth="1" min="14" max="14"/>
    <col width="18" customWidth="1" min="15" max="15"/>
    <col width="18" customWidth="1" min="16" max="16"/>
    <col width="45" customWidth="1" min="17" max="17"/>
    <col width="45" customWidth="1" min="18" max="18"/>
    <col width="10" customWidth="1" min="19" max="19"/>
    <col width="44" customWidth="1" min="20" max="20"/>
    <col width="45" customWidth="1" min="21" max="21"/>
  </cols>
  <sheetData>
    <row r="1"/>
    <row r="2">
      <c r="B2" s="1" t="inlineStr">
        <is>
          <t>MIRAEE Competitor News Scoring Simulator</t>
        </is>
      </c>
    </row>
    <row r="3">
      <c r="B3" s="2" t="inlineStr">
        <is>
          <t>Toggle inputs N and O to simulate active signals. Advanced Controls (Columns T-U) adjust multipliers.</t>
        </is>
      </c>
    </row>
    <row r="4"/>
    <row r="5">
      <c r="B5" s="3" t="inlineStr">
        <is>
          <t>Scoring Summary Dashboard</t>
        </is>
      </c>
      <c r="H5" s="3" t="inlineStr">
        <is>
          <t>Strategic Archetype Detections</t>
        </is>
      </c>
      <c r="T5" s="3" t="inlineStr">
        <is>
          <t>Advanced Curation Logic Panels</t>
        </is>
      </c>
    </row>
    <row r="6">
      <c r="B6" s="7" t="inlineStr">
        <is>
          <t>Pillar Name</t>
        </is>
      </c>
      <c r="C6" s="7" t="inlineStr">
        <is>
          <t>Raw Sum</t>
        </is>
      </c>
      <c r="D6" s="7" t="inlineStr">
        <is>
          <t>Capped Score</t>
        </is>
      </c>
      <c r="E6" s="7" t="inlineStr">
        <is>
          <t>Max Cap</t>
        </is>
      </c>
      <c r="F6" s="7" t="inlineStr">
        <is>
          <t>Dashboard Alert / Status</t>
        </is>
      </c>
      <c r="H6" s="7" t="inlineStr">
        <is>
          <t>Archetype Name</t>
        </is>
      </c>
      <c r="I6" s="7" t="inlineStr">
        <is>
          <t>Active Driver Count</t>
        </is>
      </c>
      <c r="J6" s="7" t="inlineStr">
        <is>
          <t>Threshold</t>
        </is>
      </c>
      <c r="K6" s="7" t="inlineStr">
        <is>
          <t>Trigger Status</t>
        </is>
      </c>
      <c r="T6" s="7" t="inlineStr">
        <is>
          <t>Advanced Control Metric</t>
        </is>
      </c>
      <c r="U6" s="7" t="inlineStr">
        <is>
          <t>Simulator Input Value</t>
        </is>
      </c>
    </row>
    <row r="7">
      <c r="B7" s="12" t="inlineStr">
        <is>
          <t>Competitive Impact (CI)</t>
        </is>
      </c>
      <c r="C7" s="10">
        <f>SUMIF(B17:B96, "CI", P17:P96)</f>
        <v/>
      </c>
      <c r="D7" s="16">
        <f>MIN(E7, C7)</f>
        <v/>
      </c>
      <c r="E7" s="10" t="n">
        <v>30</v>
      </c>
      <c r="F7" s="10" t="inlineStr">
        <is>
          <t>Score Capped at 30</t>
        </is>
      </c>
      <c r="H7" s="16" t="inlineStr">
        <is>
          <t>AI Investment</t>
        </is>
      </c>
      <c r="I7" s="10">
        <f>IF(N44+O44&gt;0,1,0)+IF(N45+O45&gt;0,1,0)+IF(N50+O50&gt;0,1,0)+IF(N51+O51&gt;0,1,0)+IF(N52+O52&gt;0,1,0)+IF(N77+O77&gt;0,1,0)+IF(N78+O78&gt;0,1,0)+IF(N79+O79&gt;0,1,0)</f>
        <v/>
      </c>
      <c r="J7" s="10" t="inlineStr">
        <is>
          <t>&gt;= 2 Active</t>
        </is>
      </c>
      <c r="K7" s="16">
        <f>IF(I7&gt;=2, "ACTIVE", "Inactive")</f>
        <v/>
      </c>
      <c r="T7" s="11" t="inlineStr">
        <is>
          <t>Similar Coverage Count (Event Decay)</t>
        </is>
      </c>
      <c r="U7" s="10" t="n">
        <v>0</v>
      </c>
    </row>
    <row r="8">
      <c r="B8" s="12" t="inlineStr">
        <is>
          <t>Strategic Intent (SI)</t>
        </is>
      </c>
      <c r="C8" s="10">
        <f>SUMIF(B17:B96, "SI", P17:P96)</f>
        <v/>
      </c>
      <c r="D8" s="16">
        <f>MIN(E8, C8)</f>
        <v/>
      </c>
      <c r="E8" s="10" t="n">
        <v>40</v>
      </c>
      <c r="F8" s="10" t="inlineStr">
        <is>
          <t>Score Capped at 40</t>
        </is>
      </c>
      <c r="H8" s="16" t="inlineStr">
        <is>
          <t>Growth &amp; Expansion</t>
        </is>
      </c>
      <c r="I8" s="10">
        <f>IF(N36+O36&gt;0,1,0)+IF(N40+O40&gt;0,1,0)+IF(N45+O45&gt;0,1,0)+IF(N66+O66&gt;0,1,0)+IF(N80+O80&gt;0,1,0)+IF(N81+O81&gt;0,1,0)+IF(N82+O82&gt;0,1,0)</f>
        <v/>
      </c>
      <c r="J8" s="10" t="inlineStr">
        <is>
          <t>&gt;= 2 Active</t>
        </is>
      </c>
      <c r="K8" s="16">
        <f>IF(I8&gt;=2, "ACTIVE", "Inactive")</f>
        <v/>
      </c>
      <c r="T8" s="11" t="inlineStr">
        <is>
          <t>Distinct Comp. Events in 30 Days</t>
        </is>
      </c>
      <c r="U8" s="10" t="n">
        <v>0</v>
      </c>
    </row>
    <row r="9">
      <c r="B9" s="12" t="inlineStr">
        <is>
          <t>Execution Momentum (EM)</t>
        </is>
      </c>
      <c r="C9" s="10">
        <f>SUMIF(B17:B96, "EM", P17:P96)</f>
        <v/>
      </c>
      <c r="D9" s="16">
        <f>MIN(E9, C9)</f>
        <v/>
      </c>
      <c r="E9" s="10" t="n">
        <v>30</v>
      </c>
      <c r="F9" s="10" t="inlineStr">
        <is>
          <t>Score Capped at 30</t>
        </is>
      </c>
      <c r="H9" s="16" t="inlineStr">
        <is>
          <t>Enterprise Push</t>
        </is>
      </c>
      <c r="I9" s="10">
        <f>IF(N25+O25&gt;0,1,0)+IF(N38+O38&gt;0,1,0)+IF(N46+O46&gt;0,1,0)+IF(N60+O60&gt;0,1,0)+IF(N83+O83&gt;0,1,0)+IF(N84+O84&gt;0,1,0)+IF(N85+O85&gt;0,1,0)</f>
        <v/>
      </c>
      <c r="J9" s="10" t="inlineStr">
        <is>
          <t>&gt;= 2 Active</t>
        </is>
      </c>
      <c r="K9" s="16">
        <f>IF(I9&gt;=2, "ACTIVE", "Inactive")</f>
        <v/>
      </c>
      <c r="T9" s="11" t="inlineStr">
        <is>
          <t>Context Adjustment Factor (0.0 to 1.0)</t>
        </is>
      </c>
      <c r="U9" s="10" t="n">
        <v>1</v>
      </c>
    </row>
    <row r="10">
      <c r="B10" s="12" t="inlineStr">
        <is>
          <t>Strategic Archetype Alignment Bonus</t>
        </is>
      </c>
      <c r="C10" s="10">
        <f>IF(COUNTIF(K7:K12, "ACTIVE")&gt;=1, 10, 0)</f>
        <v/>
      </c>
      <c r="D10" s="16">
        <f>MIN(E10, C10)</f>
        <v/>
      </c>
      <c r="E10" s="10" t="n">
        <v>10</v>
      </c>
      <c r="F10" s="10" t="inlineStr">
        <is>
          <t>Adds +10 points if any archetype is active</t>
        </is>
      </c>
      <c r="H10" s="16" t="inlineStr">
        <is>
          <t>Product Innovation</t>
        </is>
      </c>
      <c r="I10" s="10">
        <f>IF(N21+O21&gt;0,1,0)+IF(N32+O32&gt;0,1,0)+IF(N33+O33&gt;0,1,0)+IF(N34+O34&gt;0,1,0)+IF(N47+O47&gt;0,1,0)+IF(N48+O48&gt;0,1,0)</f>
        <v/>
      </c>
      <c r="J10" s="10" t="inlineStr">
        <is>
          <t>&gt;= 2 Active</t>
        </is>
      </c>
      <c r="K10" s="16">
        <f>IF(I10&gt;=2, "ACTIVE", "Inactive")</f>
        <v/>
      </c>
      <c r="T10" s="11" t="inlineStr">
        <is>
          <t>Target Competitor Name</t>
        </is>
      </c>
      <c r="U10" s="10" t="inlineStr">
        <is>
          <t>Navan</t>
        </is>
      </c>
    </row>
    <row r="11">
      <c r="B11" s="11" t="inlineStr">
        <is>
          <t>FINAL ARTICLE SCORE</t>
        </is>
      </c>
      <c r="C11" s="16">
        <f>SUM(C7:C10) + U18</f>
        <v/>
      </c>
      <c r="D11" s="16">
        <f>MIN(100, (SUM(D7:D10) + U18) * U16 * U17)</f>
        <v/>
      </c>
      <c r="E11" s="16" t="n">
        <v>100</v>
      </c>
      <c r="F11" s="18">
        <f>IF(D11&gt;=75, "🔴 Critical Alert", IF(D11&gt;=55, "🟡 High Importance", IF(D11&gt;=35, "🟢 Standard Signal", "⚪ Noise")))</f>
        <v/>
      </c>
      <c r="H11" s="16" t="inlineStr">
        <is>
          <t>Platform Consolidation</t>
        </is>
      </c>
      <c r="I11" s="10">
        <f>IF(N37+O37&gt;0,1,0)+IF(N66+O66&gt;0,1,0)+IF(N89+O89&gt;0,1,0)+IF(N90+O90&gt;0,1,0)+IF(N91+O91&gt;0,1,0)</f>
        <v/>
      </c>
      <c r="J11" s="10" t="inlineStr">
        <is>
          <t>&gt;= 2 Active</t>
        </is>
      </c>
      <c r="K11" s="16">
        <f>IF(I11&gt;=2, "ACTIVE", "Inactive")</f>
        <v/>
      </c>
    </row>
    <row r="12">
      <c r="H12" s="16" t="inlineStr">
        <is>
          <t>Competitive Response</t>
        </is>
      </c>
      <c r="I12" s="10">
        <f>IF(N86+O86&gt;0,1,0)+IF(N87+O87&gt;0,1,0)+IF(N88+O88&gt;0,1,0)</f>
        <v/>
      </c>
      <c r="J12" s="10" t="inlineStr">
        <is>
          <t>&gt;= 2 Active</t>
        </is>
      </c>
      <c r="K12" s="16">
        <f>IF(I12&gt;=2, "ACTIVE", "Inactive")</f>
        <v/>
      </c>
    </row>
    <row r="13"/>
    <row r="14">
      <c r="T14" s="11" t="inlineStr">
        <is>
          <t>Similar Coverage Count (Decay Input)</t>
        </is>
      </c>
      <c r="U14" s="10">
        <f>U7</f>
        <v/>
      </c>
    </row>
    <row r="15">
      <c r="B15" s="3" t="inlineStr">
        <is>
          <t>The 80 News Evaluation Rubrics - Interactive Simulator</t>
        </is>
      </c>
      <c r="T15" s="11" t="inlineStr">
        <is>
          <t>Distinct Events Count (Persistence Input)</t>
        </is>
      </c>
      <c r="U15" s="10">
        <f>U8</f>
        <v/>
      </c>
    </row>
    <row r="16">
      <c r="A16" s="24" t="inlineStr">
        <is>
          <t>Pillar</t>
        </is>
      </c>
      <c r="B16" s="24" t="inlineStr">
        <is>
          <t>Pillar Code</t>
        </is>
      </c>
      <c r="C16" s="24" t="inlineStr">
        <is>
          <t>Category</t>
        </is>
      </c>
      <c r="D16" s="24" t="inlineStr">
        <is>
          <t>Sub-Category</t>
        </is>
      </c>
      <c r="E16" s="24" t="inlineStr">
        <is>
          <t>Rubric ID</t>
        </is>
      </c>
      <c r="F16" s="24" t="inlineStr">
        <is>
          <t>Rubric Name</t>
        </is>
      </c>
      <c r="G16" s="24" t="inlineStr">
        <is>
          <t>Tier</t>
        </is>
      </c>
      <c r="H16" s="25" t="inlineStr">
        <is>
          <t>Points</t>
        </is>
      </c>
      <c r="I16" s="24" t="inlineStr">
        <is>
          <t>Selection Rule</t>
        </is>
      </c>
      <c r="J16" s="24" t="inlineStr">
        <is>
          <t>Group ID</t>
        </is>
      </c>
      <c r="K16" s="24" t="inlineStr">
        <is>
          <t>Mutually Exclusive</t>
        </is>
      </c>
      <c r="L16" s="24" t="inlineStr">
        <is>
          <t>Required Anchors</t>
        </is>
      </c>
      <c r="M16" s="24" t="inlineStr">
        <is>
          <t>Supporting Keywords</t>
        </is>
      </c>
      <c r="N16" s="25" t="inlineStr">
        <is>
          <t>Active in Title (0/1)</t>
        </is>
      </c>
      <c r="O16" s="25" t="inlineStr">
        <is>
          <t>Active in Body (0/1)</t>
        </is>
      </c>
      <c r="P16" s="25" t="inlineStr">
        <is>
          <t>Calculated Points</t>
        </is>
      </c>
      <c r="Q16" s="24" t="inlineStr">
        <is>
          <t>Definition</t>
        </is>
      </c>
      <c r="R16" s="24" t="inlineStr">
        <is>
          <t>Scoring Logic</t>
        </is>
      </c>
      <c r="T16" s="11" t="inlineStr">
        <is>
          <t>Context Adjustment (Context Input)</t>
        </is>
      </c>
      <c r="U16" s="10">
        <f>U9</f>
        <v/>
      </c>
    </row>
    <row r="17">
      <c r="A17" s="11" t="inlineStr">
        <is>
          <t>Competitive Impact (CI)</t>
        </is>
      </c>
      <c r="B17" s="11" t="inlineStr">
        <is>
          <t>CI</t>
        </is>
      </c>
      <c r="C17" s="12" t="inlineStr">
        <is>
          <t>Competitor Profile</t>
        </is>
      </c>
      <c r="D17" s="12" t="inlineStr">
        <is>
          <t>Competitor Tier</t>
        </is>
      </c>
      <c r="E17" s="11" t="inlineStr">
        <is>
          <t>R-01</t>
        </is>
      </c>
      <c r="F17" s="12" t="inlineStr">
        <is>
          <t>Core Competitor</t>
        </is>
      </c>
      <c r="G17" s="12" t="inlineStr">
        <is>
          <t>Tier 1</t>
        </is>
      </c>
      <c r="H17" s="16" t="n">
        <v>10</v>
      </c>
      <c r="I17" s="12" t="inlineStr">
        <is>
          <t>SINGLE</t>
        </is>
      </c>
      <c r="J17" s="12" t="inlineStr">
        <is>
          <t>G_COMP_TIER</t>
        </is>
      </c>
      <c r="K17" s="12" t="inlineStr">
        <is>
          <t>Yes</t>
        </is>
      </c>
      <c r="L17" s="12" t="inlineStr">
        <is>
          <t>Navan, TravelPerk, Concur, SAP Concur, Amex GBT, American Express Global Business Travel</t>
        </is>
      </c>
      <c r="M17" s="12" t="inlineStr"/>
      <c r="N17" s="16" t="n">
        <v>0</v>
      </c>
      <c r="O17" s="16" t="n">
        <v>0</v>
      </c>
      <c r="P17" s="16">
        <f>H17*(0.4*N17+0.6*O17)</f>
        <v/>
      </c>
      <c r="Q17" s="12" t="inlineStr">
        <is>
          <t>Core travel-tech booking competitor.</t>
        </is>
      </c>
      <c r="R17" s="12" t="inlineStr">
        <is>
          <t>Assign 10 points if the primary competitor is in Tier 1.</t>
        </is>
      </c>
      <c r="T17" s="11" t="inlineStr">
        <is>
          <t>Decay Factor (Calculated)</t>
        </is>
      </c>
      <c r="U17" s="26">
        <f>IF(U14=0, 1, IF(U14=1, 0.5, IF(U14=2, 0.25, 0)))</f>
        <v/>
      </c>
    </row>
    <row r="18">
      <c r="A18" s="13" t="inlineStr">
        <is>
          <t>Competitive Impact (CI)</t>
        </is>
      </c>
      <c r="B18" s="13" t="inlineStr">
        <is>
          <t>CI</t>
        </is>
      </c>
      <c r="C18" s="14" t="inlineStr">
        <is>
          <t>Competitor Profile</t>
        </is>
      </c>
      <c r="D18" s="14" t="inlineStr">
        <is>
          <t>Competitor Tier</t>
        </is>
      </c>
      <c r="E18" s="13" t="inlineStr">
        <is>
          <t>R-02</t>
        </is>
      </c>
      <c r="F18" s="14" t="inlineStr">
        <is>
          <t>Spend/FinOps Competitor</t>
        </is>
      </c>
      <c r="G18" s="14" t="inlineStr">
        <is>
          <t>Tier 2</t>
        </is>
      </c>
      <c r="H18" s="15" t="n">
        <v>7</v>
      </c>
      <c r="I18" s="14" t="inlineStr">
        <is>
          <t>SINGLE</t>
        </is>
      </c>
      <c r="J18" s="14" t="inlineStr">
        <is>
          <t>G_COMP_TIER</t>
        </is>
      </c>
      <c r="K18" s="14" t="inlineStr">
        <is>
          <t>Yes</t>
        </is>
      </c>
      <c r="L18" s="14" t="inlineStr">
        <is>
          <t>Brex, Ramp, Spotnana</t>
        </is>
      </c>
      <c r="M18" s="14" t="inlineStr"/>
      <c r="N18" s="15" t="n">
        <v>0</v>
      </c>
      <c r="O18" s="15" t="n">
        <v>0</v>
      </c>
      <c r="P18" s="15">
        <f>H18*(0.4*N18+0.6*O18)</f>
        <v/>
      </c>
      <c r="Q18" s="14" t="inlineStr">
        <is>
          <t>Expense/card competitor targeting travel integration.</t>
        </is>
      </c>
      <c r="R18" s="14" t="inlineStr">
        <is>
          <t>Assign 7 points if primary competitor is in Tier 2.</t>
        </is>
      </c>
      <c r="T18" s="11" t="inlineStr">
        <is>
          <t>Persistence Bonus (Calculated)</t>
        </is>
      </c>
      <c r="U18" s="26">
        <f>IF(U15&gt;=3, 10, IF(U15&gt;=1, 5, 0))</f>
        <v/>
      </c>
    </row>
    <row r="19">
      <c r="A19" s="11" t="inlineStr">
        <is>
          <t>Competitive Impact (CI)</t>
        </is>
      </c>
      <c r="B19" s="11" t="inlineStr">
        <is>
          <t>CI</t>
        </is>
      </c>
      <c r="C19" s="12" t="inlineStr">
        <is>
          <t>Competitor Profile</t>
        </is>
      </c>
      <c r="D19" s="12" t="inlineStr">
        <is>
          <t>Competitor Tier</t>
        </is>
      </c>
      <c r="E19" s="11" t="inlineStr">
        <is>
          <t>R-03</t>
        </is>
      </c>
      <c r="F19" s="12" t="inlineStr">
        <is>
          <t>Tech/AI Leader</t>
        </is>
      </c>
      <c r="G19" s="12" t="inlineStr">
        <is>
          <t>Tier 3</t>
        </is>
      </c>
      <c r="H19" s="16" t="n">
        <v>3</v>
      </c>
      <c r="I19" s="12" t="inlineStr">
        <is>
          <t>SINGLE</t>
        </is>
      </c>
      <c r="J19" s="12" t="inlineStr">
        <is>
          <t>G_COMP_TIER</t>
        </is>
      </c>
      <c r="K19" s="12" t="inlineStr">
        <is>
          <t>Yes</t>
        </is>
      </c>
      <c r="L19" s="12" t="inlineStr">
        <is>
          <t>OpenAI, Anthropic, Google, DeepMind, Microsoft Azure, AWS Bedrock</t>
        </is>
      </c>
      <c r="M19" s="12" t="inlineStr"/>
      <c r="N19" s="16" t="n">
        <v>0</v>
      </c>
      <c r="O19" s="16" t="n">
        <v>0</v>
      </c>
      <c r="P19" s="16">
        <f>H19*(0.4*N19+0.6*O19)</f>
        <v/>
      </c>
      <c r="Q19" s="12" t="inlineStr">
        <is>
          <t>Generative AI foundation providers.</t>
        </is>
      </c>
      <c r="R19" s="12" t="inlineStr">
        <is>
          <t>Assign 3 points if primary competitor is a tech vendor.</t>
        </is>
      </c>
      <c r="T19" s="11" t="inlineStr">
        <is>
          <t>Industry-Level Event Flag</t>
        </is>
      </c>
      <c r="U19" s="26">
        <f>IF(SUM(N17:N20)+SUM(O17:O20)=0, "YES - Industry News / Macro Trend", "NO - Competitor Specific")</f>
        <v/>
      </c>
    </row>
    <row r="20">
      <c r="A20" s="13" t="inlineStr">
        <is>
          <t>Competitive Impact (CI)</t>
        </is>
      </c>
      <c r="B20" s="13" t="inlineStr">
        <is>
          <t>CI</t>
        </is>
      </c>
      <c r="C20" s="14" t="inlineStr">
        <is>
          <t>Competitor Profile</t>
        </is>
      </c>
      <c r="D20" s="14" t="inlineStr">
        <is>
          <t>Competitor Tier</t>
        </is>
      </c>
      <c r="E20" s="13" t="inlineStr">
        <is>
          <t>R-04</t>
        </is>
      </c>
      <c r="F20" s="14" t="inlineStr">
        <is>
          <t>New Entrant</t>
        </is>
      </c>
      <c r="G20" s="14" t="inlineStr">
        <is>
          <t>Tier 4</t>
        </is>
      </c>
      <c r="H20" s="15" t="n">
        <v>5</v>
      </c>
      <c r="I20" s="14" t="inlineStr">
        <is>
          <t>SINGLE</t>
        </is>
      </c>
      <c r="J20" s="14" t="inlineStr">
        <is>
          <t>G_COMP_TIER</t>
        </is>
      </c>
      <c r="K20" s="14" t="inlineStr">
        <is>
          <t>Yes</t>
        </is>
      </c>
      <c r="L20" s="14" t="inlineStr">
        <is>
          <t>VoyageX, TripOS, FlowTrip, travel tech startup</t>
        </is>
      </c>
      <c r="M20" s="14" t="inlineStr">
        <is>
          <t>startup, entrant</t>
        </is>
      </c>
      <c r="N20" s="15" t="n">
        <v>0</v>
      </c>
      <c r="O20" s="15" t="n">
        <v>0</v>
      </c>
      <c r="P20" s="15">
        <f>H20*(0.4*N20+0.6*O20)</f>
        <v/>
      </c>
      <c r="Q20" s="14" t="inlineStr">
        <is>
          <t>Early stage B2B travel startups.</t>
        </is>
      </c>
      <c r="R20" s="14" t="inlineStr">
        <is>
          <t>Assign 5 points if primary competitor is a startup entrant.</t>
        </is>
      </c>
    </row>
    <row r="21">
      <c r="A21" s="11" t="inlineStr">
        <is>
          <t>Competitive Impact (CI)</t>
        </is>
      </c>
      <c r="B21" s="11" t="inlineStr">
        <is>
          <t>CI</t>
        </is>
      </c>
      <c r="C21" s="12" t="inlineStr">
        <is>
          <t>Competitor Profile</t>
        </is>
      </c>
      <c r="D21" s="12" t="inlineStr">
        <is>
          <t>Product Domain Fit</t>
        </is>
      </c>
      <c r="E21" s="11" t="inlineStr">
        <is>
          <t>R-05</t>
        </is>
      </c>
      <c r="F21" s="12" t="inlineStr">
        <is>
          <t>Agentic Travel Workflows</t>
        </is>
      </c>
      <c r="G21" s="12" t="inlineStr">
        <is>
          <t>N/A</t>
        </is>
      </c>
      <c r="H21" s="16" t="n">
        <v>10</v>
      </c>
      <c r="I21" s="12" t="inlineStr">
        <is>
          <t>SINGLE</t>
        </is>
      </c>
      <c r="J21" s="12" t="inlineStr">
        <is>
          <t>G_PRODUCT_OVERLAP</t>
        </is>
      </c>
      <c r="K21" s="12" t="inlineStr">
        <is>
          <t>Yes</t>
        </is>
      </c>
      <c r="L21" s="12" t="inlineStr">
        <is>
          <t>auto-booking, autonomous approval, zero-touch delegation, self-executing agent, AI travel agent, outcome-based booking</t>
        </is>
      </c>
      <c r="M21" s="12" t="inlineStr">
        <is>
          <t>agent, workflow, automation, assistant</t>
        </is>
      </c>
      <c r="N21" s="16" t="n">
        <v>0</v>
      </c>
      <c r="O21" s="16" t="n">
        <v>0</v>
      </c>
      <c r="P21" s="16">
        <f>H21*(0.4*N21+0.6*O21)</f>
        <v/>
      </c>
      <c r="Q21" s="12" t="inlineStr">
        <is>
          <t>Automated search-to-book loops with zero human input.</t>
        </is>
      </c>
      <c r="R21" s="12" t="inlineStr">
        <is>
          <t>Assign 10 points if features automate delegation.</t>
        </is>
      </c>
    </row>
    <row r="22">
      <c r="A22" s="13" t="inlineStr">
        <is>
          <t>Competitive Impact (CI)</t>
        </is>
      </c>
      <c r="B22" s="13" t="inlineStr">
        <is>
          <t>CI</t>
        </is>
      </c>
      <c r="C22" s="14" t="inlineStr">
        <is>
          <t>Competitor Profile</t>
        </is>
      </c>
      <c r="D22" s="14" t="inlineStr">
        <is>
          <t>Product Domain Fit</t>
        </is>
      </c>
      <c r="E22" s="13" t="inlineStr">
        <is>
          <t>R-06</t>
        </is>
      </c>
      <c r="F22" s="14" t="inlineStr">
        <is>
          <t>Traditional Travel Booking</t>
        </is>
      </c>
      <c r="G22" s="14" t="inlineStr">
        <is>
          <t>N/A</t>
        </is>
      </c>
      <c r="H22" s="15" t="n">
        <v>6</v>
      </c>
      <c r="I22" s="14" t="inlineStr">
        <is>
          <t>SINGLE</t>
        </is>
      </c>
      <c r="J22" s="14" t="inlineStr">
        <is>
          <t>G_PRODUCT_OVERLAP</t>
        </is>
      </c>
      <c r="K22" s="14" t="inlineStr">
        <is>
          <t>Yes</t>
        </is>
      </c>
      <c r="L22" s="14" t="inlineStr">
        <is>
          <t>flight search, hotel booking, travel portal, self-service booking, GDS integration</t>
        </is>
      </c>
      <c r="M22" s="14" t="inlineStr">
        <is>
          <t>booking, flight, hotel, inventory</t>
        </is>
      </c>
      <c r="N22" s="15" t="n">
        <v>0</v>
      </c>
      <c r="O22" s="15" t="n">
        <v>0</v>
      </c>
      <c r="P22" s="15">
        <f>H22*(0.4*N22+0.6*O22)</f>
        <v/>
      </c>
      <c r="Q22" s="14" t="inlineStr">
        <is>
          <t>Standard employee booking tools.</t>
        </is>
      </c>
      <c r="R22" s="14" t="inlineStr">
        <is>
          <t>Assign 6 points if feature relates to booking portals or inventories.</t>
        </is>
      </c>
    </row>
    <row r="23">
      <c r="A23" s="11" t="inlineStr">
        <is>
          <t>Competitive Impact (CI)</t>
        </is>
      </c>
      <c r="B23" s="11" t="inlineStr">
        <is>
          <t>CI</t>
        </is>
      </c>
      <c r="C23" s="12" t="inlineStr">
        <is>
          <t>Competitor Profile</t>
        </is>
      </c>
      <c r="D23" s="12" t="inlineStr">
        <is>
          <t>Product Domain Fit</t>
        </is>
      </c>
      <c r="E23" s="11" t="inlineStr">
        <is>
          <t>R-07</t>
        </is>
      </c>
      <c r="F23" s="12" t="inlineStr">
        <is>
          <t>Expense &amp; Spend Controls</t>
        </is>
      </c>
      <c r="G23" s="12" t="inlineStr">
        <is>
          <t>N/A</t>
        </is>
      </c>
      <c r="H23" s="16" t="n">
        <v>5</v>
      </c>
      <c r="I23" s="12" t="inlineStr">
        <is>
          <t>SINGLE</t>
        </is>
      </c>
      <c r="J23" s="12" t="inlineStr">
        <is>
          <t>G_PRODUCT_OVERLAP</t>
        </is>
      </c>
      <c r="K23" s="12" t="inlineStr">
        <is>
          <t>Yes</t>
        </is>
      </c>
      <c r="L23" s="12" t="inlineStr">
        <is>
          <t>spend controls, receipt scan, expense report, corporate card, budget flagging</t>
        </is>
      </c>
      <c r="M23" s="12" t="inlineStr">
        <is>
          <t>expense, card, receipt, spend</t>
        </is>
      </c>
      <c r="N23" s="16" t="n">
        <v>0</v>
      </c>
      <c r="O23" s="16" t="n">
        <v>0</v>
      </c>
      <c r="P23" s="16">
        <f>H23*(0.4*N23+0.6*O23)</f>
        <v/>
      </c>
      <c r="Q23" s="12" t="inlineStr">
        <is>
          <t>Standard corporate expense workflows.</t>
        </is>
      </c>
      <c r="R23" s="12" t="inlineStr">
        <is>
          <t>Assign 5 points if feature handles receipt scans or card spending.</t>
        </is>
      </c>
    </row>
    <row r="24">
      <c r="A24" s="13" t="inlineStr">
        <is>
          <t>Competitive Impact (CI)</t>
        </is>
      </c>
      <c r="B24" s="13" t="inlineStr">
        <is>
          <t>CI</t>
        </is>
      </c>
      <c r="C24" s="14" t="inlineStr">
        <is>
          <t>Competitor Profile</t>
        </is>
      </c>
      <c r="D24" s="14" t="inlineStr">
        <is>
          <t>Product Domain Fit</t>
        </is>
      </c>
      <c r="E24" s="13" t="inlineStr">
        <is>
          <t>R-08</t>
        </is>
      </c>
      <c r="F24" s="14" t="inlineStr">
        <is>
          <t>Accounting &amp; ERP Integration</t>
        </is>
      </c>
      <c r="G24" s="14" t="inlineStr">
        <is>
          <t>N/A</t>
        </is>
      </c>
      <c r="H24" s="15" t="n">
        <v>3</v>
      </c>
      <c r="I24" s="14" t="inlineStr">
        <is>
          <t>SINGLE</t>
        </is>
      </c>
      <c r="J24" s="14" t="inlineStr">
        <is>
          <t>G_PRODUCT_OVERLAP</t>
        </is>
      </c>
      <c r="K24" s="14" t="inlineStr">
        <is>
          <t>Yes</t>
        </is>
      </c>
      <c r="L24" s="14" t="inlineStr">
        <is>
          <t>QuickBooks sync, NetSuite integration, SAP ledger, accounting sync, ERP connector</t>
        </is>
      </c>
      <c r="M24" s="14" t="inlineStr">
        <is>
          <t>integration, sync, ledger, ERP</t>
        </is>
      </c>
      <c r="N24" s="15" t="n">
        <v>0</v>
      </c>
      <c r="O24" s="15" t="n">
        <v>0</v>
      </c>
      <c r="P24" s="15">
        <f>H24*(0.4*N24+0.6*O24)</f>
        <v/>
      </c>
      <c r="Q24" s="14" t="inlineStr">
        <is>
          <t>Data integration with financial back-office platforms.</t>
        </is>
      </c>
      <c r="R24" s="14" t="inlineStr">
        <is>
          <t>Assign 3 points if feature connects to third-party ERPs.</t>
        </is>
      </c>
    </row>
    <row r="25">
      <c r="A25" s="11" t="inlineStr">
        <is>
          <t>Competitive Impact (CI)</t>
        </is>
      </c>
      <c r="B25" s="11" t="inlineStr">
        <is>
          <t>CI</t>
        </is>
      </c>
      <c r="C25" s="12" t="inlineStr">
        <is>
          <t>Competitor Profile</t>
        </is>
      </c>
      <c r="D25" s="12" t="inlineStr">
        <is>
          <t>Target Audience Match</t>
        </is>
      </c>
      <c r="E25" s="11" t="inlineStr">
        <is>
          <t>R-09</t>
        </is>
      </c>
      <c r="F25" s="12" t="inlineStr">
        <is>
          <t>US Enterprise Buyers</t>
        </is>
      </c>
      <c r="G25" s="12" t="inlineStr">
        <is>
          <t>N/A</t>
        </is>
      </c>
      <c r="H25" s="16" t="n">
        <v>10</v>
      </c>
      <c r="I25" s="12" t="inlineStr">
        <is>
          <t>SINGLE</t>
        </is>
      </c>
      <c r="J25" s="12" t="inlineStr">
        <is>
          <t>G_US_TARGET</t>
        </is>
      </c>
      <c r="K25" s="12" t="inlineStr">
        <is>
          <t>Yes</t>
        </is>
      </c>
      <c r="L25" s="12" t="inlineStr">
        <is>
          <t>US enterprise, CFO budget, procurement director, travel manager, US market launch</t>
        </is>
      </c>
      <c r="M25" s="12" t="inlineStr">
        <is>
          <t>enterprise, CFO, procurement, manager</t>
        </is>
      </c>
      <c r="N25" s="16" t="n">
        <v>0</v>
      </c>
      <c r="O25" s="16" t="n">
        <v>0</v>
      </c>
      <c r="P25" s="16">
        <f>H25*(0.4*N25+0.6*O25)</f>
        <v/>
      </c>
      <c r="Q25" s="12" t="inlineStr">
        <is>
          <t>Direct overlap with Miraee's target buyer.</t>
        </is>
      </c>
      <c r="R25" s="12" t="inlineStr">
        <is>
          <t>Assign 10 points if targeting US enterprise finance/travel executives.</t>
        </is>
      </c>
    </row>
    <row r="26">
      <c r="A26" s="13" t="inlineStr">
        <is>
          <t>Competitive Impact (CI)</t>
        </is>
      </c>
      <c r="B26" s="13" t="inlineStr">
        <is>
          <t>CI</t>
        </is>
      </c>
      <c r="C26" s="14" t="inlineStr">
        <is>
          <t>Competitor Profile</t>
        </is>
      </c>
      <c r="D26" s="14" t="inlineStr">
        <is>
          <t>Target Audience Match</t>
        </is>
      </c>
      <c r="E26" s="13" t="inlineStr">
        <is>
          <t>R-10</t>
        </is>
      </c>
      <c r="F26" s="14" t="inlineStr">
        <is>
          <t>SMBs &amp; Startups</t>
        </is>
      </c>
      <c r="G26" s="14" t="inlineStr">
        <is>
          <t>N/A</t>
        </is>
      </c>
      <c r="H26" s="15" t="n">
        <v>7</v>
      </c>
      <c r="I26" s="14" t="inlineStr">
        <is>
          <t>SINGLE</t>
        </is>
      </c>
      <c r="J26" s="14" t="inlineStr">
        <is>
          <t>G_US_TARGET</t>
        </is>
      </c>
      <c r="K26" s="14" t="inlineStr">
        <is>
          <t>Yes</t>
        </is>
      </c>
      <c r="L26" s="14" t="inlineStr">
        <is>
          <t>SMB travel, startup seat pricing, small business, founders, early-stage teams</t>
        </is>
      </c>
      <c r="M26" s="14" t="inlineStr">
        <is>
          <t>SMB, startup, founder, teams</t>
        </is>
      </c>
      <c r="N26" s="15" t="n">
        <v>0</v>
      </c>
      <c r="O26" s="15" t="n">
        <v>0</v>
      </c>
      <c r="P26" s="15">
        <f>H26*(0.4*N26+0.6*O26)</f>
        <v/>
      </c>
      <c r="Q26" s="14" t="inlineStr">
        <is>
          <t>Targeting early stage or mid-market operations.</t>
        </is>
      </c>
      <c r="R26" s="14" t="inlineStr">
        <is>
          <t>Assign 7 points if targeting startup founders/teams.</t>
        </is>
      </c>
    </row>
    <row r="27">
      <c r="A27" s="11" t="inlineStr">
        <is>
          <t>Competitive Impact (CI)</t>
        </is>
      </c>
      <c r="B27" s="11" t="inlineStr">
        <is>
          <t>CI</t>
        </is>
      </c>
      <c r="C27" s="12" t="inlineStr">
        <is>
          <t>Competitor Profile</t>
        </is>
      </c>
      <c r="D27" s="12" t="inlineStr">
        <is>
          <t>Target Audience Match</t>
        </is>
      </c>
      <c r="E27" s="11" t="inlineStr">
        <is>
          <t>R-11</t>
        </is>
      </c>
      <c r="F27" s="12" t="inlineStr">
        <is>
          <t>Remote &amp; Distributed Teams</t>
        </is>
      </c>
      <c r="G27" s="12" t="inlineStr">
        <is>
          <t>N/A</t>
        </is>
      </c>
      <c r="H27" s="16" t="n">
        <v>6</v>
      </c>
      <c r="I27" s="12" t="inlineStr">
        <is>
          <t>SINGLE</t>
        </is>
      </c>
      <c r="J27" s="12" t="inlineStr">
        <is>
          <t>G_US_TARGET</t>
        </is>
      </c>
      <c r="K27" s="12" t="inlineStr">
        <is>
          <t>Yes</t>
        </is>
      </c>
      <c r="L27" s="12" t="inlineStr">
        <is>
          <t>remote-first, distributed teams, team retreat, Slack-native, Notion integration</t>
        </is>
      </c>
      <c r="M27" s="12" t="inlineStr">
        <is>
          <t>remote, distributed, retreat, teams</t>
        </is>
      </c>
      <c r="N27" s="16" t="n">
        <v>0</v>
      </c>
      <c r="O27" s="16" t="n">
        <v>0</v>
      </c>
      <c r="P27" s="16">
        <f>H27*(0.4*N27+0.6*O27)</f>
        <v/>
      </c>
      <c r="Q27" s="12" t="inlineStr">
        <is>
          <t>Features for distributed employee alignment.</t>
        </is>
      </c>
      <c r="R27" s="12" t="inlineStr">
        <is>
          <t>Assign 6 points if targeting remote company hubs.</t>
        </is>
      </c>
    </row>
    <row r="28">
      <c r="A28" s="13" t="inlineStr">
        <is>
          <t>Competitive Impact (CI)</t>
        </is>
      </c>
      <c r="B28" s="13" t="inlineStr">
        <is>
          <t>CI</t>
        </is>
      </c>
      <c r="C28" s="14" t="inlineStr">
        <is>
          <t>Competitor Profile</t>
        </is>
      </c>
      <c r="D28" s="14" t="inlineStr">
        <is>
          <t>Target Audience Match</t>
        </is>
      </c>
      <c r="E28" s="13" t="inlineStr">
        <is>
          <t>R-12</t>
        </is>
      </c>
      <c r="F28" s="14" t="inlineStr">
        <is>
          <t>Individual Consumer Travel</t>
        </is>
      </c>
      <c r="G28" s="14" t="inlineStr">
        <is>
          <t>N/A</t>
        </is>
      </c>
      <c r="H28" s="15" t="n">
        <v>2</v>
      </c>
      <c r="I28" s="14" t="inlineStr">
        <is>
          <t>SINGLE</t>
        </is>
      </c>
      <c r="J28" s="14" t="inlineStr">
        <is>
          <t>G_US_TARGET</t>
        </is>
      </c>
      <c r="K28" s="14" t="inlineStr">
        <is>
          <t>Yes</t>
        </is>
      </c>
      <c r="L28" s="14" t="inlineStr">
        <is>
          <t>leisure travel, vacation, consumer app, individual booking, package holidays</t>
        </is>
      </c>
      <c r="M28" s="14" t="inlineStr">
        <is>
          <t>consumer, leisure, vacation, booking</t>
        </is>
      </c>
      <c r="N28" s="15" t="n">
        <v>0</v>
      </c>
      <c r="O28" s="15" t="n">
        <v>0</v>
      </c>
      <c r="P28" s="15">
        <f>H28*(0.4*N28+0.6*O28)</f>
        <v/>
      </c>
      <c r="Q28" s="14" t="inlineStr">
        <is>
          <t>Non-business travelers.</t>
        </is>
      </c>
      <c r="R28" s="14" t="inlineStr">
        <is>
          <t>Assign 2 points if targeting leisure travelers.</t>
        </is>
      </c>
    </row>
    <row r="29">
      <c r="A29" s="11" t="inlineStr">
        <is>
          <t>Competitive Impact (CI)</t>
        </is>
      </c>
      <c r="B29" s="11" t="inlineStr">
        <is>
          <t>CI</t>
        </is>
      </c>
      <c r="C29" s="12" t="inlineStr">
        <is>
          <t>Competitor Profile</t>
        </is>
      </c>
      <c r="D29" s="12" t="inlineStr">
        <is>
          <t>Geographic Focus</t>
        </is>
      </c>
      <c r="E29" s="11" t="inlineStr">
        <is>
          <t>R-13</t>
        </is>
      </c>
      <c r="F29" s="12" t="inlineStr">
        <is>
          <t>US Launch / US Core</t>
        </is>
      </c>
      <c r="G29" s="12" t="inlineStr">
        <is>
          <t>N/A</t>
        </is>
      </c>
      <c r="H29" s="16" t="n">
        <v>10</v>
      </c>
      <c r="I29" s="12" t="inlineStr">
        <is>
          <t>SINGLE</t>
        </is>
      </c>
      <c r="J29" s="12" t="inlineStr">
        <is>
          <t>G_GEO_FOCUS</t>
        </is>
      </c>
      <c r="K29" s="12" t="inlineStr">
        <is>
          <t>Yes</t>
        </is>
      </c>
      <c r="L29" s="12" t="inlineStr">
        <is>
          <t>US launch, New York office, US market, Nasdaq, SEC filing</t>
        </is>
      </c>
      <c r="M29" s="12" t="inlineStr">
        <is>
          <t>US, market, launch</t>
        </is>
      </c>
      <c r="N29" s="16" t="n">
        <v>0</v>
      </c>
      <c r="O29" s="16" t="n">
        <v>0</v>
      </c>
      <c r="P29" s="16">
        <f>H29*(0.4*N29+0.6*O29)</f>
        <v/>
      </c>
      <c r="Q29" s="12" t="inlineStr">
        <is>
          <t>Direct threat in core geographic market.</t>
        </is>
      </c>
      <c r="R29" s="12" t="inlineStr">
        <is>
          <t>Assign 10 points if the primary launch target is the US.</t>
        </is>
      </c>
    </row>
    <row r="30">
      <c r="A30" s="13" t="inlineStr">
        <is>
          <t>Competitive Impact (CI)</t>
        </is>
      </c>
      <c r="B30" s="13" t="inlineStr">
        <is>
          <t>CI</t>
        </is>
      </c>
      <c r="C30" s="14" t="inlineStr">
        <is>
          <t>Competitor Profile</t>
        </is>
      </c>
      <c r="D30" s="14" t="inlineStr">
        <is>
          <t>Geographic Focus</t>
        </is>
      </c>
      <c r="E30" s="13" t="inlineStr">
        <is>
          <t>R-14</t>
        </is>
      </c>
      <c r="F30" s="14" t="inlineStr">
        <is>
          <t>European / APAC Scaling</t>
        </is>
      </c>
      <c r="G30" s="14" t="inlineStr">
        <is>
          <t>N/A</t>
        </is>
      </c>
      <c r="H30" s="15" t="n">
        <v>5</v>
      </c>
      <c r="I30" s="14" t="inlineStr">
        <is>
          <t>SINGLE</t>
        </is>
      </c>
      <c r="J30" s="14" t="inlineStr">
        <is>
          <t>G_GEO_FOCUS</t>
        </is>
      </c>
      <c r="K30" s="14" t="inlineStr">
        <is>
          <t>Yes</t>
        </is>
      </c>
      <c r="L30" s="14" t="inlineStr">
        <is>
          <t>Germany office, France expansion, London headquarters, APAC market, EU compliance, Latin America, Brazil</t>
        </is>
      </c>
      <c r="M30" s="14" t="inlineStr">
        <is>
          <t>Europe, APAC, scaling, expansion, LatAm, Brazil</t>
        </is>
      </c>
      <c r="N30" s="15" t="n">
        <v>0</v>
      </c>
      <c r="O30" s="15" t="n">
        <v>0</v>
      </c>
      <c r="P30" s="15">
        <f>H30*(0.4*N30+0.6*O30)</f>
        <v/>
      </c>
      <c r="Q30" s="14" t="inlineStr">
        <is>
          <t>Scaling outside core US market.</t>
        </is>
      </c>
      <c r="R30" s="14" t="inlineStr">
        <is>
          <t>Assign 5 points if the geographic target is Europe or Asia or Latin America.</t>
        </is>
      </c>
    </row>
    <row r="31">
      <c r="A31" s="11" t="inlineStr">
        <is>
          <t>Competitive Impact (CI)</t>
        </is>
      </c>
      <c r="B31" s="11" t="inlineStr">
        <is>
          <t>CI</t>
        </is>
      </c>
      <c r="C31" s="12" t="inlineStr">
        <is>
          <t>Competitor Profile</t>
        </is>
      </c>
      <c r="D31" s="12" t="inlineStr">
        <is>
          <t>Geographic Focus</t>
        </is>
      </c>
      <c r="E31" s="11" t="inlineStr">
        <is>
          <t>R-15</t>
        </is>
      </c>
      <c r="F31" s="12" t="inlineStr">
        <is>
          <t>Local Domestic Regional</t>
        </is>
      </c>
      <c r="G31" s="12" t="inlineStr">
        <is>
          <t>N/A</t>
        </is>
      </c>
      <c r="H31" s="16" t="n">
        <v>2</v>
      </c>
      <c r="I31" s="12" t="inlineStr">
        <is>
          <t>SINGLE</t>
        </is>
      </c>
      <c r="J31" s="12" t="inlineStr">
        <is>
          <t>G_GEO_FOCUS</t>
        </is>
      </c>
      <c r="K31" s="12" t="inlineStr">
        <is>
          <t>Yes</t>
        </is>
      </c>
      <c r="L31" s="12" t="inlineStr">
        <is>
          <t>local regional, domestic transport, local rail, country-specific rail</t>
        </is>
      </c>
      <c r="M31" s="12" t="inlineStr">
        <is>
          <t>local, domestic, regional</t>
        </is>
      </c>
      <c r="N31" s="16" t="n">
        <v>0</v>
      </c>
      <c r="O31" s="16" t="n">
        <v>0</v>
      </c>
      <c r="P31" s="16">
        <f>H31*(0.4*N31+0.6*O31)</f>
        <v/>
      </c>
      <c r="Q31" s="12" t="inlineStr">
        <is>
          <t>Focused on domestic local markets.</t>
        </is>
      </c>
      <c r="R31" s="12" t="inlineStr">
        <is>
          <t>Assign 2 points if targeting localized regional transport.</t>
        </is>
      </c>
    </row>
    <row r="32">
      <c r="A32" s="13" t="inlineStr">
        <is>
          <t>Strategic Intent (SI)</t>
        </is>
      </c>
      <c r="B32" s="13" t="inlineStr">
        <is>
          <t>SI</t>
        </is>
      </c>
      <c r="C32" s="14" t="inlineStr">
        <is>
          <t>Event Priority</t>
        </is>
      </c>
      <c r="D32" s="14" t="inlineStr">
        <is>
          <t>Product &amp; Tech Events</t>
        </is>
      </c>
      <c r="E32" s="13" t="inlineStr">
        <is>
          <t>R-16</t>
        </is>
      </c>
      <c r="F32" s="14" t="inlineStr">
        <is>
          <t>Major Product Launch</t>
        </is>
      </c>
      <c r="G32" s="14" t="inlineStr">
        <is>
          <t>N/A</t>
        </is>
      </c>
      <c r="H32" s="15" t="n">
        <v>15</v>
      </c>
      <c r="I32" s="14" t="inlineStr">
        <is>
          <t>SINGLE</t>
        </is>
      </c>
      <c r="J32" s="14" t="inlineStr">
        <is>
          <t>G_EVENT_PRIORITY</t>
        </is>
      </c>
      <c r="K32" s="14" t="inlineStr">
        <is>
          <t>Yes</t>
        </is>
      </c>
      <c r="L32" s="14" t="inlineStr">
        <is>
          <t>GA release, platform launch, product debut, next-generation platform, goes live, official product debut</t>
        </is>
      </c>
      <c r="M32" s="14" t="inlineStr">
        <is>
          <t>launch, platform, live, release</t>
        </is>
      </c>
      <c r="N32" s="15" t="n">
        <v>0</v>
      </c>
      <c r="O32" s="15" t="n">
        <v>0</v>
      </c>
      <c r="P32" s="15">
        <f>H32*(0.4*N32+0.6*O32)</f>
        <v/>
      </c>
      <c r="Q32" s="14" t="inlineStr">
        <is>
          <t>Significant new capability introduced in GA.</t>
        </is>
      </c>
      <c r="R32" s="14" t="inlineStr">
        <is>
          <t>Assign 15 points if the main event is a major new platform launch.</t>
        </is>
      </c>
    </row>
    <row r="33">
      <c r="A33" s="11" t="inlineStr">
        <is>
          <t>Strategic Intent (SI)</t>
        </is>
      </c>
      <c r="B33" s="11" t="inlineStr">
        <is>
          <t>SI</t>
        </is>
      </c>
      <c r="C33" s="12" t="inlineStr">
        <is>
          <t>Event Priority</t>
        </is>
      </c>
      <c r="D33" s="12" t="inlineStr">
        <is>
          <t>Product &amp; Tech Events</t>
        </is>
      </c>
      <c r="E33" s="11" t="inlineStr">
        <is>
          <t>R-17</t>
        </is>
      </c>
      <c r="F33" s="12" t="inlineStr">
        <is>
          <t>Minor Feature Release</t>
        </is>
      </c>
      <c r="G33" s="12" t="inlineStr">
        <is>
          <t>N/A</t>
        </is>
      </c>
      <c r="H33" s="16" t="n">
        <v>6</v>
      </c>
      <c r="I33" s="12" t="inlineStr">
        <is>
          <t>SINGLE</t>
        </is>
      </c>
      <c r="J33" s="12" t="inlineStr">
        <is>
          <t>G_EVENT_PRIORITY</t>
        </is>
      </c>
      <c r="K33" s="12" t="inlineStr">
        <is>
          <t>Yes</t>
        </is>
      </c>
      <c r="L33" s="12" t="inlineStr">
        <is>
          <t>feature update, UI redesign, search filters, mobile app update, speed improvement, UI refresh, software patch</t>
        </is>
      </c>
      <c r="M33" s="12" t="inlineStr">
        <is>
          <t>update, filters, redesign, patch</t>
        </is>
      </c>
      <c r="N33" s="16" t="n">
        <v>0</v>
      </c>
      <c r="O33" s="16" t="n">
        <v>0</v>
      </c>
      <c r="P33" s="16">
        <f>H33*(0.4*N33+0.6*O33)</f>
        <v/>
      </c>
      <c r="Q33" s="12" t="inlineStr">
        <is>
          <t>Incremental update to an existing product feature.</t>
        </is>
      </c>
      <c r="R33" s="12" t="inlineStr">
        <is>
          <t>Assign 6 points if the event is a feature update.</t>
        </is>
      </c>
    </row>
    <row r="34">
      <c r="A34" s="13" t="inlineStr">
        <is>
          <t>Strategic Intent (SI)</t>
        </is>
      </c>
      <c r="B34" s="13" t="inlineStr">
        <is>
          <t>SI</t>
        </is>
      </c>
      <c r="C34" s="14" t="inlineStr">
        <is>
          <t>Event Priority</t>
        </is>
      </c>
      <c r="D34" s="14" t="inlineStr">
        <is>
          <t>Product &amp; Tech Events</t>
        </is>
      </c>
      <c r="E34" s="13" t="inlineStr">
        <is>
          <t>R-18</t>
        </is>
      </c>
      <c r="F34" s="14" t="inlineStr">
        <is>
          <t>API &amp; Developer Launch</t>
        </is>
      </c>
      <c r="G34" s="14" t="inlineStr">
        <is>
          <t>N/A</t>
        </is>
      </c>
      <c r="H34" s="15" t="n">
        <v>10</v>
      </c>
      <c r="I34" s="14" t="inlineStr">
        <is>
          <t>SINGLE</t>
        </is>
      </c>
      <c r="J34" s="14" t="inlineStr">
        <is>
          <t>G_EVENT_PRIORITY</t>
        </is>
      </c>
      <c r="K34" s="14" t="inlineStr">
        <is>
          <t>Yes</t>
        </is>
      </c>
      <c r="L34" s="14" t="inlineStr">
        <is>
          <t>Developer API, SDK release, OpenAPI docs, voice API, developer portal, API access</t>
        </is>
      </c>
      <c r="M34" s="14" t="inlineStr">
        <is>
          <t>API, SDK, developer, portal</t>
        </is>
      </c>
      <c r="N34" s="15" t="n">
        <v>0</v>
      </c>
      <c r="O34" s="15" t="n">
        <v>0</v>
      </c>
      <c r="P34" s="15">
        <f>H34*(0.4*N34+0.6*O34)</f>
        <v/>
      </c>
      <c r="Q34" s="14" t="inlineStr">
        <is>
          <t>Exposing product engine to third-party developers.</t>
        </is>
      </c>
      <c r="R34" s="14" t="inlineStr">
        <is>
          <t>Assign 10 points if developer tools are released.</t>
        </is>
      </c>
    </row>
    <row r="35">
      <c r="A35" s="11" t="inlineStr">
        <is>
          <t>Strategic Intent (SI)</t>
        </is>
      </c>
      <c r="B35" s="11" t="inlineStr">
        <is>
          <t>SI</t>
        </is>
      </c>
      <c r="C35" s="12" t="inlineStr">
        <is>
          <t>Event Priority</t>
        </is>
      </c>
      <c r="D35" s="12" t="inlineStr">
        <is>
          <t>Product &amp; Tech Events</t>
        </is>
      </c>
      <c r="E35" s="11" t="inlineStr">
        <is>
          <t>R-19</t>
        </is>
      </c>
      <c r="F35" s="12" t="inlineStr">
        <is>
          <t>UI/UX Revamp</t>
        </is>
      </c>
      <c r="G35" s="12" t="inlineStr">
        <is>
          <t>N/A</t>
        </is>
      </c>
      <c r="H35" s="16" t="n">
        <v>4</v>
      </c>
      <c r="I35" s="12" t="inlineStr">
        <is>
          <t>SINGLE</t>
        </is>
      </c>
      <c r="J35" s="12" t="inlineStr">
        <is>
          <t>G_EVENT_PRIORITY</t>
        </is>
      </c>
      <c r="K35" s="12" t="inlineStr">
        <is>
          <t>Yes</t>
        </is>
      </c>
      <c r="L35" s="12" t="inlineStr">
        <is>
          <t>logo refresh, dark mode, navigation layout, cosmetic update, visual design overhaul, UX refresh</t>
        </is>
      </c>
      <c r="M35" s="12" t="inlineStr">
        <is>
          <t>logo, style, dark mode, design</t>
        </is>
      </c>
      <c r="N35" s="16" t="n">
        <v>0</v>
      </c>
      <c r="O35" s="16" t="n">
        <v>0</v>
      </c>
      <c r="P35" s="16">
        <f>H35*(0.4*N35+0.6*O35)</f>
        <v/>
      </c>
      <c r="Q35" s="12" t="inlineStr">
        <is>
          <t>Pure interface re-styling.</t>
        </is>
      </c>
      <c r="R35" s="12" t="inlineStr">
        <is>
          <t>Assign 4 points if the change is layout-only with no new functionalities.</t>
        </is>
      </c>
    </row>
    <row r="36">
      <c r="A36" s="13" t="inlineStr">
        <is>
          <t>Strategic Intent (SI)</t>
        </is>
      </c>
      <c r="B36" s="13" t="inlineStr">
        <is>
          <t>SI</t>
        </is>
      </c>
      <c r="C36" s="14" t="inlineStr">
        <is>
          <t>Event Priority</t>
        </is>
      </c>
      <c r="D36" s="14" t="inlineStr">
        <is>
          <t>Financial Events</t>
        </is>
      </c>
      <c r="E36" s="13" t="inlineStr">
        <is>
          <t>R-20</t>
        </is>
      </c>
      <c r="F36" s="14" t="inlineStr">
        <is>
          <t>Venture Funding Round</t>
        </is>
      </c>
      <c r="G36" s="14" t="inlineStr">
        <is>
          <t>N/A</t>
        </is>
      </c>
      <c r="H36" s="15" t="n">
        <v>12</v>
      </c>
      <c r="I36" s="14" t="inlineStr">
        <is>
          <t>SINGLE</t>
        </is>
      </c>
      <c r="J36" s="14" t="inlineStr">
        <is>
          <t>G_EVENT_PRIORITY</t>
        </is>
      </c>
      <c r="K36" s="14" t="inlineStr">
        <is>
          <t>Yes</t>
        </is>
      </c>
      <c r="L36" s="14" t="inlineStr">
        <is>
          <t>raised funding, venture round, Series A, Series B, Series C, Series D, Series E, VC funding, capital injection</t>
        </is>
      </c>
      <c r="M36" s="14" t="inlineStr">
        <is>
          <t>funding, raised, VC, Series</t>
        </is>
      </c>
      <c r="N36" s="15" t="n">
        <v>0</v>
      </c>
      <c r="O36" s="15" t="n">
        <v>0</v>
      </c>
      <c r="P36" s="15">
        <f>H36*(0.4*N36+0.6*O36)</f>
        <v/>
      </c>
      <c r="Q36" s="14" t="inlineStr">
        <is>
          <t>Growth capital secured from VCs.</t>
        </is>
      </c>
      <c r="R36" s="14" t="inlineStr">
        <is>
          <t>Assign 12 points if competitor raises a venture funding round.</t>
        </is>
      </c>
    </row>
    <row r="37">
      <c r="A37" s="11" t="inlineStr">
        <is>
          <t>Strategic Intent (SI)</t>
        </is>
      </c>
      <c r="B37" s="11" t="inlineStr">
        <is>
          <t>SI</t>
        </is>
      </c>
      <c r="C37" s="12" t="inlineStr">
        <is>
          <t>Event Priority</t>
        </is>
      </c>
      <c r="D37" s="12" t="inlineStr">
        <is>
          <t>Financial Events</t>
        </is>
      </c>
      <c r="E37" s="11" t="inlineStr">
        <is>
          <t>R-21</t>
        </is>
      </c>
      <c r="F37" s="12" t="inlineStr">
        <is>
          <t>Merger &amp; Acquisition (M&amp;A)</t>
        </is>
      </c>
      <c r="G37" s="12" t="inlineStr">
        <is>
          <t>N/A</t>
        </is>
      </c>
      <c r="H37" s="16" t="n">
        <v>15</v>
      </c>
      <c r="I37" s="12" t="inlineStr">
        <is>
          <t>SINGLE</t>
        </is>
      </c>
      <c r="J37" s="12" t="inlineStr">
        <is>
          <t>G_EVENT_PRIORITY</t>
        </is>
      </c>
      <c r="K37" s="12" t="inlineStr">
        <is>
          <t>Yes</t>
        </is>
      </c>
      <c r="L37" s="12" t="inlineStr">
        <is>
          <t>acquires competitor, completed acquisition, Egencia portfolio, merger agreement, M&amp;A deal, strategic acquisition, acquires CWT, acquires AmTrav, acquisition of Brazil, Smartrips</t>
        </is>
      </c>
      <c r="M37" s="12" t="inlineStr">
        <is>
          <t>acquisition, merger, acquires</t>
        </is>
      </c>
      <c r="N37" s="16" t="n">
        <v>0</v>
      </c>
      <c r="O37" s="16" t="n">
        <v>0</v>
      </c>
      <c r="P37" s="16">
        <f>H37*(0.4*N37+0.6*O37)</f>
        <v/>
      </c>
      <c r="Q37" s="12" t="inlineStr">
        <is>
          <t>Acquiring market share or capabilities.</t>
        </is>
      </c>
      <c r="R37" s="12" t="inlineStr">
        <is>
          <t>Assign 15 points if competitor completes an acquisition/merger.</t>
        </is>
      </c>
    </row>
    <row r="38">
      <c r="A38" s="13" t="inlineStr">
        <is>
          <t>Strategic Intent (SI)</t>
        </is>
      </c>
      <c r="B38" s="13" t="inlineStr">
        <is>
          <t>SI</t>
        </is>
      </c>
      <c r="C38" s="14" t="inlineStr">
        <is>
          <t>Event Priority</t>
        </is>
      </c>
      <c r="D38" s="14" t="inlineStr">
        <is>
          <t>Financial Events</t>
        </is>
      </c>
      <c r="E38" s="13" t="inlineStr">
        <is>
          <t>R-22</t>
        </is>
      </c>
      <c r="F38" s="14" t="inlineStr">
        <is>
          <t>Joint Venture / Partnership</t>
        </is>
      </c>
      <c r="G38" s="14" t="inlineStr">
        <is>
          <t>N/A</t>
        </is>
      </c>
      <c r="H38" s="15" t="n">
        <v>8</v>
      </c>
      <c r="I38" s="14" t="inlineStr">
        <is>
          <t>SINGLE</t>
        </is>
      </c>
      <c r="J38" s="14" t="inlineStr">
        <is>
          <t>G_EVENT_PRIORITY</t>
        </is>
      </c>
      <c r="K38" s="14" t="inlineStr">
        <is>
          <t>Yes</t>
        </is>
      </c>
      <c r="L38" s="14" t="inlineStr">
        <is>
          <t>partnership agreement, joint venture, embedded travel, Stripe Treasury, corporate alliance, strategic partnership</t>
        </is>
      </c>
      <c r="M38" s="14" t="inlineStr">
        <is>
          <t>partner, alliance, agreement</t>
        </is>
      </c>
      <c r="N38" s="15" t="n">
        <v>0</v>
      </c>
      <c r="O38" s="15" t="n">
        <v>0</v>
      </c>
      <c r="P38" s="15">
        <f>H38*(0.4*N38+0.6*O38)</f>
        <v/>
      </c>
      <c r="Q38" s="14" t="inlineStr">
        <is>
          <t>Joint commercial alliance.</t>
        </is>
      </c>
      <c r="R38" s="14" t="inlineStr">
        <is>
          <t>Assign 8 points if competitor partners for product reach.</t>
        </is>
      </c>
    </row>
    <row r="39">
      <c r="A39" s="11" t="inlineStr">
        <is>
          <t>Strategic Intent (SI)</t>
        </is>
      </c>
      <c r="B39" s="11" t="inlineStr">
        <is>
          <t>SI</t>
        </is>
      </c>
      <c r="C39" s="12" t="inlineStr">
        <is>
          <t>Event Priority</t>
        </is>
      </c>
      <c r="D39" s="12" t="inlineStr">
        <is>
          <t>Financial Events</t>
        </is>
      </c>
      <c r="E39" s="11" t="inlineStr">
        <is>
          <t>R-23</t>
        </is>
      </c>
      <c r="F39" s="12" t="inlineStr">
        <is>
          <t>IPO / SEC Filings</t>
        </is>
      </c>
      <c r="G39" s="12" t="inlineStr">
        <is>
          <t>N/A</t>
        </is>
      </c>
      <c r="H39" s="16" t="n">
        <v>12</v>
      </c>
      <c r="I39" s="12" t="inlineStr">
        <is>
          <t>SINGLE</t>
        </is>
      </c>
      <c r="J39" s="12" t="inlineStr">
        <is>
          <t>G_EVENT_PRIORITY</t>
        </is>
      </c>
      <c r="K39" s="12" t="inlineStr">
        <is>
          <t>Yes</t>
        </is>
      </c>
      <c r="L39" s="12" t="inlineStr">
        <is>
          <t>S-1 filing, quarterly earnings, NYSE listing, Nasdaq listing, investor transcript, quarterly results, Nasdaq IPO</t>
        </is>
      </c>
      <c r="M39" s="12" t="inlineStr">
        <is>
          <t>IPO, S-1, earnings, transcript</t>
        </is>
      </c>
      <c r="N39" s="16" t="n">
        <v>0</v>
      </c>
      <c r="O39" s="16" t="n">
        <v>0</v>
      </c>
      <c r="P39" s="16">
        <f>H39*(0.4*N39+0.6*O39)</f>
        <v/>
      </c>
      <c r="Q39" s="12" t="inlineStr">
        <is>
          <t>S-1 filing or quarterly earnings transcripts.</t>
        </is>
      </c>
      <c r="R39" s="12" t="inlineStr">
        <is>
          <t>Assign 12 points if regulatory SEC files are published.</t>
        </is>
      </c>
    </row>
    <row r="40">
      <c r="A40" s="13" t="inlineStr">
        <is>
          <t>Strategic Intent (SI)</t>
        </is>
      </c>
      <c r="B40" s="13" t="inlineStr">
        <is>
          <t>SI</t>
        </is>
      </c>
      <c r="C40" s="14" t="inlineStr">
        <is>
          <t>Event Priority</t>
        </is>
      </c>
      <c r="D40" s="14" t="inlineStr">
        <is>
          <t>Marketing Events</t>
        </is>
      </c>
      <c r="E40" s="13" t="inlineStr">
        <is>
          <t>R-24</t>
        </is>
      </c>
      <c r="F40" s="14" t="inlineStr">
        <is>
          <t>Ad Campaign Launch</t>
        </is>
      </c>
      <c r="G40" s="14" t="inlineStr">
        <is>
          <t>N/A</t>
        </is>
      </c>
      <c r="H40" s="15" t="n">
        <v>10</v>
      </c>
      <c r="I40" s="14" t="inlineStr">
        <is>
          <t>SINGLE</t>
        </is>
      </c>
      <c r="J40" s="14" t="inlineStr">
        <is>
          <t>G_EVENT_PRIORITY</t>
        </is>
      </c>
      <c r="K40" s="14" t="inlineStr">
        <is>
          <t>Yes</t>
        </is>
      </c>
      <c r="L40" s="14" t="inlineStr">
        <is>
          <t>campaign launched, Meta Ads campaign, LinkedIn campaign, active ad library, promotional campaign</t>
        </is>
      </c>
      <c r="M40" s="14" t="inlineStr">
        <is>
          <t>campaign, ads, marketing</t>
        </is>
      </c>
      <c r="N40" s="15" t="n">
        <v>0</v>
      </c>
      <c r="O40" s="15" t="n">
        <v>0</v>
      </c>
      <c r="P40" s="15">
        <f>H40*(0.4*N40+0.6*O40)</f>
        <v/>
      </c>
      <c r="Q40" s="14" t="inlineStr">
        <is>
          <t>Paid media push launched in Meta/LinkedIn/YouTube.</t>
        </is>
      </c>
      <c r="R40" s="14" t="inlineStr">
        <is>
          <t>Assign 10 points if a new ad campaign theme is detected.</t>
        </is>
      </c>
    </row>
    <row r="41">
      <c r="A41" s="11" t="inlineStr">
        <is>
          <t>Strategic Intent (SI)</t>
        </is>
      </c>
      <c r="B41" s="11" t="inlineStr">
        <is>
          <t>SI</t>
        </is>
      </c>
      <c r="C41" s="12" t="inlineStr">
        <is>
          <t>Event Priority</t>
        </is>
      </c>
      <c r="D41" s="12" t="inlineStr">
        <is>
          <t>Marketing Events</t>
        </is>
      </c>
      <c r="E41" s="11" t="inlineStr">
        <is>
          <t>R-25</t>
        </is>
      </c>
      <c r="F41" s="12" t="inlineStr">
        <is>
          <t>Event &amp; Webinar Hosting</t>
        </is>
      </c>
      <c r="G41" s="12" t="inlineStr">
        <is>
          <t>N/A</t>
        </is>
      </c>
      <c r="H41" s="16" t="n">
        <v>8</v>
      </c>
      <c r="I41" s="12" t="inlineStr">
        <is>
          <t>SINGLE</t>
        </is>
      </c>
      <c r="J41" s="12" t="inlineStr">
        <is>
          <t>G_EVENT_PRIORITY</t>
        </is>
      </c>
      <c r="K41" s="12" t="inlineStr">
        <is>
          <t>Yes</t>
        </is>
      </c>
      <c r="L41" s="12" t="inlineStr">
        <is>
          <t>Eventbrite page, hosts webinar, BTN Summit speaker, Skift Global Keynote, competitor conference</t>
        </is>
      </c>
      <c r="M41" s="12" t="inlineStr">
        <is>
          <t>webinar, conference, hosting, speaker</t>
        </is>
      </c>
      <c r="N41" s="16" t="n">
        <v>0</v>
      </c>
      <c r="O41" s="16" t="n">
        <v>0</v>
      </c>
      <c r="P41" s="16">
        <f>H41*(0.4*N41+0.6*O41)</f>
        <v/>
      </c>
      <c r="Q41" s="12" t="inlineStr">
        <is>
          <t>Lead generation event scheduled.</t>
        </is>
      </c>
      <c r="R41" s="12" t="inlineStr">
        <is>
          <t>Assign 8 points if competitor hosts a conference or webinar.</t>
        </is>
      </c>
    </row>
    <row r="42">
      <c r="A42" s="13" t="inlineStr">
        <is>
          <t>Strategic Intent (SI)</t>
        </is>
      </c>
      <c r="B42" s="13" t="inlineStr">
        <is>
          <t>SI</t>
        </is>
      </c>
      <c r="C42" s="14" t="inlineStr">
        <is>
          <t>Event Priority</t>
        </is>
      </c>
      <c r="D42" s="14" t="inlineStr">
        <is>
          <t>Marketing Events</t>
        </is>
      </c>
      <c r="E42" s="13" t="inlineStr">
        <is>
          <t>R-26</t>
        </is>
      </c>
      <c r="F42" s="14" t="inlineStr">
        <is>
          <t>Thought Leadership Blog</t>
        </is>
      </c>
      <c r="G42" s="14" t="inlineStr">
        <is>
          <t>N/A</t>
        </is>
      </c>
      <c r="H42" s="15" t="n">
        <v>5</v>
      </c>
      <c r="I42" s="14" t="inlineStr">
        <is>
          <t>SINGLE</t>
        </is>
      </c>
      <c r="J42" s="14" t="inlineStr">
        <is>
          <t>G_EVENT_PRIORITY</t>
        </is>
      </c>
      <c r="K42" s="14" t="inlineStr">
        <is>
          <t>Yes</t>
        </is>
      </c>
      <c r="L42" s="14" t="inlineStr">
        <is>
          <t>corporate blog post, executive writeup, company newsletter, whitepaper launch, travel trends report</t>
        </is>
      </c>
      <c r="M42" s="14" t="inlineStr">
        <is>
          <t>blog, writeup, newsletter, trends</t>
        </is>
      </c>
      <c r="N42" s="15" t="n">
        <v>0</v>
      </c>
      <c r="O42" s="15" t="n">
        <v>0</v>
      </c>
      <c r="P42" s="15">
        <f>H42*(0.4*N42+0.6*O42)</f>
        <v/>
      </c>
      <c r="Q42" s="14" t="inlineStr">
        <is>
          <t>Self-published blog post highlighting travel concepts.</t>
        </is>
      </c>
      <c r="R42" s="14" t="inlineStr">
        <is>
          <t>Assign 5 points if article is thought leadership.</t>
        </is>
      </c>
    </row>
    <row r="43">
      <c r="A43" s="11" t="inlineStr">
        <is>
          <t>Strategic Intent (SI)</t>
        </is>
      </c>
      <c r="B43" s="11" t="inlineStr">
        <is>
          <t>SI</t>
        </is>
      </c>
      <c r="C43" s="12" t="inlineStr">
        <is>
          <t>Event Priority</t>
        </is>
      </c>
      <c r="D43" s="12" t="inlineStr">
        <is>
          <t>Marketing Events</t>
        </is>
      </c>
      <c r="E43" s="11" t="inlineStr">
        <is>
          <t>R-27</t>
        </is>
      </c>
      <c r="F43" s="12" t="inlineStr">
        <is>
          <t>Social Media Activity</t>
        </is>
      </c>
      <c r="G43" s="12" t="inlineStr">
        <is>
          <t>N/A</t>
        </is>
      </c>
      <c r="H43" s="16" t="n">
        <v>3</v>
      </c>
      <c r="I43" s="12" t="inlineStr">
        <is>
          <t>SINGLE</t>
        </is>
      </c>
      <c r="J43" s="12" t="inlineStr">
        <is>
          <t>G_EVENT_PRIORITY</t>
        </is>
      </c>
      <c r="K43" s="12" t="inlineStr">
        <is>
          <t>Yes</t>
        </is>
      </c>
      <c r="L43" s="12" t="inlineStr">
        <is>
          <t>LinkedIn post, Twitter update, organic share, YouTube video upload, social media post</t>
        </is>
      </c>
      <c r="M43" s="12" t="inlineStr">
        <is>
          <t>LinkedIn, Twitter, social, post</t>
        </is>
      </c>
      <c r="N43" s="16" t="n">
        <v>0</v>
      </c>
      <c r="O43" s="16" t="n">
        <v>0</v>
      </c>
      <c r="P43" s="16">
        <f>H43*(0.4*N43+0.6*O43)</f>
        <v/>
      </c>
      <c r="Q43" s="12" t="inlineStr">
        <is>
          <t>Standard organic posting on LinkedIn/Twitter.</t>
        </is>
      </c>
      <c r="R43" s="12" t="inlineStr">
        <is>
          <t>Assign 3 points if the source is an organic social post.</t>
        </is>
      </c>
    </row>
    <row r="44">
      <c r="A44" s="13" t="inlineStr">
        <is>
          <t>Strategic Intent (SI)</t>
        </is>
      </c>
      <c r="B44" s="13" t="inlineStr">
        <is>
          <t>SI</t>
        </is>
      </c>
      <c r="C44" s="14" t="inlineStr">
        <is>
          <t>Event Priority</t>
        </is>
      </c>
      <c r="D44" s="14" t="inlineStr">
        <is>
          <t>HR &amp; Org Events</t>
        </is>
      </c>
      <c r="E44" s="13" t="inlineStr">
        <is>
          <t>R-28</t>
        </is>
      </c>
      <c r="F44" s="14" t="inlineStr">
        <is>
          <t>C-Level / VP Hire</t>
        </is>
      </c>
      <c r="G44" s="14" t="inlineStr">
        <is>
          <t>N/A</t>
        </is>
      </c>
      <c r="H44" s="15" t="n">
        <v>12</v>
      </c>
      <c r="I44" s="14" t="inlineStr">
        <is>
          <t>SINGLE</t>
        </is>
      </c>
      <c r="J44" s="14" t="inlineStr">
        <is>
          <t>G_EVENT_PRIORITY</t>
        </is>
      </c>
      <c r="K44" s="14" t="inlineStr">
        <is>
          <t>Yes</t>
        </is>
      </c>
      <c r="L44" s="14" t="inlineStr">
        <is>
          <t>Sarah Chen appointed, VP appointment, ex-Google DeepMind, hired ex-OpenAI, executive recruit, chief technology officer</t>
        </is>
      </c>
      <c r="M44" s="14" t="inlineStr">
        <is>
          <t>VP, chief, hire, appointed</t>
        </is>
      </c>
      <c r="N44" s="15" t="n">
        <v>0</v>
      </c>
      <c r="O44" s="15" t="n">
        <v>0</v>
      </c>
      <c r="P44" s="15">
        <f>H44*(0.4*N44+0.6*O44)</f>
        <v/>
      </c>
      <c r="Q44" s="14" t="inlineStr">
        <is>
          <t>Key strategic leadership hire.</t>
        </is>
      </c>
      <c r="R44" s="14" t="inlineStr">
        <is>
          <t>Assign 12 points if competitor hires a C-level or VP executive.</t>
        </is>
      </c>
    </row>
    <row r="45">
      <c r="A45" s="11" t="inlineStr">
        <is>
          <t>Strategic Intent (SI)</t>
        </is>
      </c>
      <c r="B45" s="11" t="inlineStr">
        <is>
          <t>SI</t>
        </is>
      </c>
      <c r="C45" s="12" t="inlineStr">
        <is>
          <t>Event Priority</t>
        </is>
      </c>
      <c r="D45" s="12" t="inlineStr">
        <is>
          <t>HR &amp; Org Events</t>
        </is>
      </c>
      <c r="E45" s="11" t="inlineStr">
        <is>
          <t>R-29</t>
        </is>
      </c>
      <c r="F45" s="12" t="inlineStr">
        <is>
          <t>Engineering Hiring Spike</t>
        </is>
      </c>
      <c r="G45" s="12" t="inlineStr">
        <is>
          <t>N/A</t>
        </is>
      </c>
      <c r="H45" s="16" t="n">
        <v>8</v>
      </c>
      <c r="I45" s="12" t="inlineStr">
        <is>
          <t>SINGLE</t>
        </is>
      </c>
      <c r="J45" s="12" t="inlineStr">
        <is>
          <t>G_EVENT_PRIORITY</t>
        </is>
      </c>
      <c r="K45" s="12" t="inlineStr">
        <is>
          <t>Yes</t>
        </is>
      </c>
      <c r="L45" s="12" t="inlineStr">
        <is>
          <t>open engineering roles, hiring developers, software engineers wanted, ML hiring, tech hiring spike</t>
        </is>
      </c>
      <c r="M45" s="12" t="inlineStr">
        <is>
          <t>developers, hiring, engineering, ML</t>
        </is>
      </c>
      <c r="N45" s="16" t="n">
        <v>0</v>
      </c>
      <c r="O45" s="16" t="n">
        <v>0</v>
      </c>
      <c r="P45" s="16">
        <f>H45*(0.4*N45+0.6*O45)</f>
        <v/>
      </c>
      <c r="Q45" s="12" t="inlineStr">
        <is>
          <t>Hiring concentrated in software and AI roles.</t>
        </is>
      </c>
      <c r="R45" s="12" t="inlineStr">
        <is>
          <t>Assign 8 points if hiring shows engineering dominance (&gt;60% open roles).</t>
        </is>
      </c>
    </row>
    <row r="46">
      <c r="A46" s="13" t="inlineStr">
        <is>
          <t>Strategic Intent (SI)</t>
        </is>
      </c>
      <c r="B46" s="13" t="inlineStr">
        <is>
          <t>SI</t>
        </is>
      </c>
      <c r="C46" s="14" t="inlineStr">
        <is>
          <t>Event Priority</t>
        </is>
      </c>
      <c r="D46" s="14" t="inlineStr">
        <is>
          <t>HR &amp; Org Events</t>
        </is>
      </c>
      <c r="E46" s="13" t="inlineStr">
        <is>
          <t>R-30</t>
        </is>
      </c>
      <c r="F46" s="14" t="inlineStr">
        <is>
          <t>Sales/Marketing Expansion Hires</t>
        </is>
      </c>
      <c r="G46" s="14" t="inlineStr">
        <is>
          <t>N/A</t>
        </is>
      </c>
      <c r="H46" s="15" t="n">
        <v>6</v>
      </c>
      <c r="I46" s="14" t="inlineStr">
        <is>
          <t>SINGLE</t>
        </is>
      </c>
      <c r="J46" s="14" t="inlineStr">
        <is>
          <t>G_EVENT_PRIORITY</t>
        </is>
      </c>
      <c r="K46" s="14" t="inlineStr">
        <is>
          <t>Yes</t>
        </is>
      </c>
      <c r="L46" s="14" t="inlineStr">
        <is>
          <t>hiring sales executives, account managers, US sales director, business development team</t>
        </is>
      </c>
      <c r="M46" s="14" t="inlineStr">
        <is>
          <t>sales, hiring, marketing</t>
        </is>
      </c>
      <c r="N46" s="15" t="n">
        <v>0</v>
      </c>
      <c r="O46" s="15" t="n">
        <v>0</v>
      </c>
      <c r="P46" s="15">
        <f>H46*(0.4*N46+0.6*O46)</f>
        <v/>
      </c>
      <c r="Q46" s="14" t="inlineStr">
        <is>
          <t>Hiring sales directors or account executives.</t>
        </is>
      </c>
      <c r="R46" s="14" t="inlineStr">
        <is>
          <t>Assign 6 points if hiring shows go-to-market scaling focus.</t>
        </is>
      </c>
    </row>
    <row r="47">
      <c r="A47" s="11" t="inlineStr">
        <is>
          <t>Strategic Intent (SI)</t>
        </is>
      </c>
      <c r="B47" s="11" t="inlineStr">
        <is>
          <t>SI</t>
        </is>
      </c>
      <c r="C47" s="12" t="inlineStr">
        <is>
          <t>Strategic Context</t>
        </is>
      </c>
      <c r="D47" s="12" t="inlineStr">
        <is>
          <t>Disruption Scale</t>
        </is>
      </c>
      <c r="E47" s="11" t="inlineStr">
        <is>
          <t>R-31</t>
        </is>
      </c>
      <c r="F47" s="12" t="inlineStr">
        <is>
          <t>Category Paradigm Shift</t>
        </is>
      </c>
      <c r="G47" s="12" t="inlineStr">
        <is>
          <t>N/A</t>
        </is>
      </c>
      <c r="H47" s="16" t="n">
        <v>10</v>
      </c>
      <c r="I47" s="12" t="inlineStr">
        <is>
          <t>SINGLE</t>
        </is>
      </c>
      <c r="J47" s="12" t="inlineStr">
        <is>
          <t>G_DISRUPTION</t>
        </is>
      </c>
      <c r="K47" s="12" t="inlineStr">
        <is>
          <t>Yes</t>
        </is>
      </c>
      <c r="L47" s="12" t="inlineStr">
        <is>
          <t>outcome-based booking, no-touch booking, autonomous approvals, zero human requests, workflow automation</t>
        </is>
      </c>
      <c r="M47" s="12" t="inlineStr">
        <is>
          <t>paradigm, shift, autonomous, automation</t>
        </is>
      </c>
      <c r="N47" s="16" t="n">
        <v>0</v>
      </c>
      <c r="O47" s="16" t="n">
        <v>0</v>
      </c>
      <c r="P47" s="16">
        <f>H47*(0.4*N47+0.6*O47)</f>
        <v/>
      </c>
      <c r="Q47" s="12" t="inlineStr">
        <is>
          <t>Attempts to disrupt traditional travel booking rules.</t>
        </is>
      </c>
      <c r="R47" s="12" t="inlineStr">
        <is>
          <t>Assign 10 points if the feature shifts output ownership to AI.</t>
        </is>
      </c>
    </row>
    <row r="48">
      <c r="A48" s="13" t="inlineStr">
        <is>
          <t>Strategic Intent (SI)</t>
        </is>
      </c>
      <c r="B48" s="13" t="inlineStr">
        <is>
          <t>SI</t>
        </is>
      </c>
      <c r="C48" s="14" t="inlineStr">
        <is>
          <t>Strategic Context</t>
        </is>
      </c>
      <c r="D48" s="14" t="inlineStr">
        <is>
          <t>Disruption Scale</t>
        </is>
      </c>
      <c r="E48" s="13" t="inlineStr">
        <is>
          <t>R-32</t>
        </is>
      </c>
      <c r="F48" s="14" t="inlineStr">
        <is>
          <t>Incremental Innovation</t>
        </is>
      </c>
      <c r="G48" s="14" t="inlineStr">
        <is>
          <t>N/A</t>
        </is>
      </c>
      <c r="H48" s="15" t="n">
        <v>5</v>
      </c>
      <c r="I48" s="14" t="inlineStr">
        <is>
          <t>SINGLE</t>
        </is>
      </c>
      <c r="J48" s="14" t="inlineStr">
        <is>
          <t>G_DISRUPTION</t>
        </is>
      </c>
      <c r="K48" s="14" t="inlineStr">
        <is>
          <t>Yes</t>
        </is>
      </c>
      <c r="L48" s="14" t="inlineStr">
        <is>
          <t>faster travel search, auto-populate details, receipt upload improvements, upgraded UI, custom filter parameters</t>
        </is>
      </c>
      <c r="M48" s="14" t="inlineStr">
        <is>
          <t>incremental, upgrade, improve, filters</t>
        </is>
      </c>
      <c r="N48" s="15" t="n">
        <v>0</v>
      </c>
      <c r="O48" s="15" t="n">
        <v>0</v>
      </c>
      <c r="P48" s="15">
        <f>H48*(0.4*N48+0.6*O48)</f>
        <v/>
      </c>
      <c r="Q48" s="14" t="inlineStr">
        <is>
          <t>Improves convenience of current features.</t>
        </is>
      </c>
      <c r="R48" s="14" t="inlineStr">
        <is>
          <t>Assign 5 points if the feature upgrades standard flows.</t>
        </is>
      </c>
    </row>
    <row r="49">
      <c r="A49" s="11" t="inlineStr">
        <is>
          <t>Strategic Intent (SI)</t>
        </is>
      </c>
      <c r="B49" s="11" t="inlineStr">
        <is>
          <t>SI</t>
        </is>
      </c>
      <c r="C49" s="12" t="inlineStr">
        <is>
          <t>Strategic Context</t>
        </is>
      </c>
      <c r="D49" s="12" t="inlineStr">
        <is>
          <t>Disruption Scale</t>
        </is>
      </c>
      <c r="E49" s="11" t="inlineStr">
        <is>
          <t>R-33</t>
        </is>
      </c>
      <c r="F49" s="12" t="inlineStr">
        <is>
          <t>Commodity / Maintenance</t>
        </is>
      </c>
      <c r="G49" s="12" t="inlineStr">
        <is>
          <t>N/A</t>
        </is>
      </c>
      <c r="H49" s="16" t="n">
        <v>1</v>
      </c>
      <c r="I49" s="12" t="inlineStr">
        <is>
          <t>SINGLE</t>
        </is>
      </c>
      <c r="J49" s="12" t="inlineStr">
        <is>
          <t>G_DISRUPTION</t>
        </is>
      </c>
      <c r="K49" s="12" t="inlineStr">
        <is>
          <t>Yes</t>
        </is>
      </c>
      <c r="L49" s="12" t="inlineStr">
        <is>
          <t>security patch, bug fixes, performance upgrade, standard maintenance, system stability</t>
        </is>
      </c>
      <c r="M49" s="12" t="inlineStr">
        <is>
          <t>maintenance, patches, bugs</t>
        </is>
      </c>
      <c r="N49" s="16" t="n">
        <v>0</v>
      </c>
      <c r="O49" s="16" t="n">
        <v>0</v>
      </c>
      <c r="P49" s="16">
        <f>H49*(0.4*N49+0.6*O49)</f>
        <v/>
      </c>
      <c r="Q49" s="12" t="inlineStr">
        <is>
          <t>Security audits, bug fixes, or routine updates.</t>
        </is>
      </c>
      <c r="R49" s="12" t="inlineStr">
        <is>
          <t>Assign 1 point if the update is maintenance-only.</t>
        </is>
      </c>
    </row>
    <row r="50">
      <c r="A50" s="13" t="inlineStr">
        <is>
          <t>Strategic Intent (SI)</t>
        </is>
      </c>
      <c r="B50" s="13" t="inlineStr">
        <is>
          <t>SI</t>
        </is>
      </c>
      <c r="C50" s="14" t="inlineStr">
        <is>
          <t>Strategic Context</t>
        </is>
      </c>
      <c r="D50" s="14" t="inlineStr">
        <is>
          <t>AI &amp; Agentic Depth</t>
        </is>
      </c>
      <c r="E50" s="13" t="inlineStr">
        <is>
          <t>R-34</t>
        </is>
      </c>
      <c r="F50" s="14" t="inlineStr">
        <is>
          <t>Multi-Agent Frameworks</t>
        </is>
      </c>
      <c r="G50" s="14" t="inlineStr">
        <is>
          <t>N/A</t>
        </is>
      </c>
      <c r="H50" s="15" t="n">
        <v>10</v>
      </c>
      <c r="I50" s="14" t="inlineStr">
        <is>
          <t>SINGLE</t>
        </is>
      </c>
      <c r="J50" s="14" t="inlineStr">
        <is>
          <t>G_AI_DEPTH</t>
        </is>
      </c>
      <c r="K50" s="14" t="inlineStr">
        <is>
          <t>Yes</t>
        </is>
      </c>
      <c r="L50" s="14" t="inlineStr">
        <is>
          <t>LangGraph coordination, multi-agent coordination, agentic workflow, crewAI orchestration, agentic network</t>
        </is>
      </c>
      <c r="M50" s="14" t="inlineStr">
        <is>
          <t>agents, network, LangGraph, framework</t>
        </is>
      </c>
      <c r="N50" s="15" t="n">
        <v>0</v>
      </c>
      <c r="O50" s="15" t="n">
        <v>0</v>
      </c>
      <c r="P50" s="15">
        <f>H50*(0.4*N50+0.6*O50)</f>
        <v/>
      </c>
      <c r="Q50" s="14" t="inlineStr">
        <is>
          <t>Using multiple AI agents that collaborate.</t>
        </is>
      </c>
      <c r="R50" s="14" t="inlineStr">
        <is>
          <t>Assign 10 points if multi-agent architecture is mentioned in tech news.</t>
        </is>
      </c>
    </row>
    <row r="51">
      <c r="A51" s="11" t="inlineStr">
        <is>
          <t>Strategic Intent (SI)</t>
        </is>
      </c>
      <c r="B51" s="11" t="inlineStr">
        <is>
          <t>SI</t>
        </is>
      </c>
      <c r="C51" s="12" t="inlineStr">
        <is>
          <t>Strategic Context</t>
        </is>
      </c>
      <c r="D51" s="12" t="inlineStr">
        <is>
          <t>AI &amp; Agentic Depth</t>
        </is>
      </c>
      <c r="E51" s="11" t="inlineStr">
        <is>
          <t>R-35</t>
        </is>
      </c>
      <c r="F51" s="12" t="inlineStr">
        <is>
          <t>Conversational Voice APIs</t>
        </is>
      </c>
      <c r="G51" s="12" t="inlineStr">
        <is>
          <t>N/A</t>
        </is>
      </c>
      <c r="H51" s="16" t="n">
        <v>8</v>
      </c>
      <c r="I51" s="12" t="inlineStr">
        <is>
          <t>SINGLE</t>
        </is>
      </c>
      <c r="J51" s="12" t="inlineStr">
        <is>
          <t>G_AI_DEPTH</t>
        </is>
      </c>
      <c r="K51" s="12" t="inlineStr">
        <is>
          <t>Yes</t>
        </is>
      </c>
      <c r="L51" s="12" t="inlineStr">
        <is>
          <t>voice agent, Realtime API, sub-300ms latency, conversational voice, ElevenLabs integration</t>
        </is>
      </c>
      <c r="M51" s="12" t="inlineStr">
        <is>
          <t>voice, API, conversational, realtime</t>
        </is>
      </c>
      <c r="N51" s="16" t="n">
        <v>0</v>
      </c>
      <c r="O51" s="16" t="n">
        <v>0</v>
      </c>
      <c r="P51" s="16">
        <f>H51*(0.4*N51+0.6*O51)</f>
        <v/>
      </c>
      <c r="Q51" s="12" t="inlineStr">
        <is>
          <t>Low-latency voice conversion.</t>
        </is>
      </c>
      <c r="R51" s="12" t="inlineStr">
        <is>
          <t>Assign 8 points if low-latency voice integration is used.</t>
        </is>
      </c>
    </row>
    <row r="52">
      <c r="A52" s="13" t="inlineStr">
        <is>
          <t>Strategic Intent (SI)</t>
        </is>
      </c>
      <c r="B52" s="13" t="inlineStr">
        <is>
          <t>SI</t>
        </is>
      </c>
      <c r="C52" s="14" t="inlineStr">
        <is>
          <t>Strategic Context</t>
        </is>
      </c>
      <c r="D52" s="14" t="inlineStr">
        <is>
          <t>AI &amp; Agentic Depth</t>
        </is>
      </c>
      <c r="E52" s="13" t="inlineStr">
        <is>
          <t>R-36</t>
        </is>
      </c>
      <c r="F52" s="14" t="inlineStr">
        <is>
          <t>Persistent Agent Memory</t>
        </is>
      </c>
      <c r="G52" s="14" t="inlineStr">
        <is>
          <t>N/A</t>
        </is>
      </c>
      <c r="H52" s="15" t="n">
        <v>8</v>
      </c>
      <c r="I52" s="14" t="inlineStr">
        <is>
          <t>SINGLE</t>
        </is>
      </c>
      <c r="J52" s="14" t="inlineStr">
        <is>
          <t>G_AI_DEPTH</t>
        </is>
      </c>
      <c r="K52" s="14" t="inlineStr">
        <is>
          <t>Yes</t>
        </is>
      </c>
      <c r="L52" s="14" t="inlineStr">
        <is>
          <t>agent memory API, persistent context, cross-session memory, memory API, preferences retention</t>
        </is>
      </c>
      <c r="M52" s="14" t="inlineStr">
        <is>
          <t>memory, persistent, session</t>
        </is>
      </c>
      <c r="N52" s="15" t="n">
        <v>0</v>
      </c>
      <c r="O52" s="15" t="n">
        <v>0</v>
      </c>
      <c r="P52" s="15">
        <f>H52*(0.4*N52+0.6*O52)</f>
        <v/>
      </c>
      <c r="Q52" s="14" t="inlineStr">
        <is>
          <t>Retaining context across separate sessions.</t>
        </is>
      </c>
      <c r="R52" s="14" t="inlineStr">
        <is>
          <t>Assign 8 points if persistent multi-session context is enabled.</t>
        </is>
      </c>
    </row>
    <row r="53">
      <c r="A53" s="11" t="inlineStr">
        <is>
          <t>Strategic Intent (SI)</t>
        </is>
      </c>
      <c r="B53" s="11" t="inlineStr">
        <is>
          <t>SI</t>
        </is>
      </c>
      <c r="C53" s="12" t="inlineStr">
        <is>
          <t>Strategic Context</t>
        </is>
      </c>
      <c r="D53" s="12" t="inlineStr">
        <is>
          <t>AI &amp; Agentic Depth</t>
        </is>
      </c>
      <c r="E53" s="11" t="inlineStr">
        <is>
          <t>R-37</t>
        </is>
      </c>
      <c r="F53" s="12" t="inlineStr">
        <is>
          <t>Simple LLM Wrapper</t>
        </is>
      </c>
      <c r="G53" s="12" t="inlineStr">
        <is>
          <t>N/A</t>
        </is>
      </c>
      <c r="H53" s="16" t="n">
        <v>3</v>
      </c>
      <c r="I53" s="12" t="inlineStr">
        <is>
          <t>SINGLE</t>
        </is>
      </c>
      <c r="J53" s="12" t="inlineStr">
        <is>
          <t>G_AI_DEPTH</t>
        </is>
      </c>
      <c r="K53" s="12" t="inlineStr">
        <is>
          <t>Yes</t>
        </is>
      </c>
      <c r="L53" s="12" t="inlineStr">
        <is>
          <t>AI description generator, auto-generated tags, basic chat module, GPT-wrapper</t>
        </is>
      </c>
      <c r="M53" s="12" t="inlineStr">
        <is>
          <t>wrapper, basic, chat</t>
        </is>
      </c>
      <c r="N53" s="16" t="n">
        <v>0</v>
      </c>
      <c r="O53" s="16" t="n">
        <v>0</v>
      </c>
      <c r="P53" s="16">
        <f>H53*(0.4*N53+0.6*O53)</f>
        <v/>
      </c>
      <c r="Q53" s="12" t="inlineStr">
        <is>
          <t>Basic GPT/Claude wrapper with no custom logic.</t>
        </is>
      </c>
      <c r="R53" s="12" t="inlineStr">
        <is>
          <t>Assign 3 points if AI is used only for basic text generation.</t>
        </is>
      </c>
    </row>
    <row r="54">
      <c r="A54" s="13" t="inlineStr">
        <is>
          <t>Strategic Intent (SI)</t>
        </is>
      </c>
      <c r="B54" s="13" t="inlineStr">
        <is>
          <t>SI</t>
        </is>
      </c>
      <c r="C54" s="14" t="inlineStr">
        <is>
          <t>Strategic Context</t>
        </is>
      </c>
      <c r="D54" s="14" t="inlineStr">
        <is>
          <t>Pricing Shifts</t>
        </is>
      </c>
      <c r="E54" s="13" t="inlineStr">
        <is>
          <t>R-38</t>
        </is>
      </c>
      <c r="F54" s="14" t="inlineStr">
        <is>
          <t>Quiet Enterprise Price Hike</t>
        </is>
      </c>
      <c r="G54" s="14" t="inlineStr">
        <is>
          <t>N/A</t>
        </is>
      </c>
      <c r="H54" s="15" t="n">
        <v>10</v>
      </c>
      <c r="I54" s="14" t="inlineStr">
        <is>
          <t>SINGLE</t>
        </is>
      </c>
      <c r="J54" s="14" t="inlineStr">
        <is>
          <t>G_PRICING</t>
        </is>
      </c>
      <c r="K54" s="14" t="inlineStr">
        <is>
          <t>Yes</t>
        </is>
      </c>
      <c r="L54" s="14" t="inlineStr">
        <is>
          <t>pricing raised 14%, effective renewals, quiet price hike, contract increase, subscription rate raise</t>
        </is>
      </c>
      <c r="M54" s="14" t="inlineStr">
        <is>
          <t>price, hike, raise, renewals</t>
        </is>
      </c>
      <c r="N54" s="15" t="n">
        <v>0</v>
      </c>
      <c r="O54" s="15" t="n">
        <v>0</v>
      </c>
      <c r="P54" s="15">
        <f>H54*(0.4*N54+0.6*O54)</f>
        <v/>
      </c>
      <c r="Q54" s="14" t="inlineStr">
        <is>
          <t>Quiet pricing raise detected on renewals.</t>
        </is>
      </c>
      <c r="R54" s="14" t="inlineStr">
        <is>
          <t>Assign 10 points if enterprise contract pricing is raised.</t>
        </is>
      </c>
    </row>
    <row r="55">
      <c r="A55" s="11" t="inlineStr">
        <is>
          <t>Strategic Intent (SI)</t>
        </is>
      </c>
      <c r="B55" s="11" t="inlineStr">
        <is>
          <t>SI</t>
        </is>
      </c>
      <c r="C55" s="12" t="inlineStr">
        <is>
          <t>Strategic Context</t>
        </is>
      </c>
      <c r="D55" s="12" t="inlineStr">
        <is>
          <t>Pricing Shifts</t>
        </is>
      </c>
      <c r="E55" s="11" t="inlineStr">
        <is>
          <t>R-39</t>
        </is>
      </c>
      <c r="F55" s="12" t="inlineStr">
        <is>
          <t>Per-Seat Startup Package</t>
        </is>
      </c>
      <c r="G55" s="12" t="inlineStr">
        <is>
          <t>N/A</t>
        </is>
      </c>
      <c r="H55" s="16" t="n">
        <v>7</v>
      </c>
      <c r="I55" s="12" t="inlineStr">
        <is>
          <t>SINGLE</t>
        </is>
      </c>
      <c r="J55" s="12" t="inlineStr">
        <is>
          <t>G_PRICING</t>
        </is>
      </c>
      <c r="K55" s="12" t="inlineStr">
        <is>
          <t>Yes</t>
        </is>
      </c>
      <c r="L55" s="12" t="inlineStr">
        <is>
          <t>per-seat pricing, Slack-first model, no long contracts, startup subscription package</t>
        </is>
      </c>
      <c r="M55" s="12" t="inlineStr">
        <is>
          <t>seat, startup, subscription</t>
        </is>
      </c>
      <c r="N55" s="16" t="n">
        <v>0</v>
      </c>
      <c r="O55" s="16" t="n">
        <v>0</v>
      </c>
      <c r="P55" s="16">
        <f>H55*(0.4*N55+0.6*O55)</f>
        <v/>
      </c>
      <c r="Q55" s="12" t="inlineStr">
        <is>
          <t>Simple, flexible seat pricing targeting small teams.</t>
        </is>
      </c>
      <c r="R55" s="12" t="inlineStr">
        <is>
          <t>Assign 7 points if competitor starts per-seat pricing.</t>
        </is>
      </c>
    </row>
    <row r="56">
      <c r="A56" s="13" t="inlineStr">
        <is>
          <t>Strategic Intent (SI)</t>
        </is>
      </c>
      <c r="B56" s="13" t="inlineStr">
        <is>
          <t>SI</t>
        </is>
      </c>
      <c r="C56" s="14" t="inlineStr">
        <is>
          <t>Strategic Context</t>
        </is>
      </c>
      <c r="D56" s="14" t="inlineStr">
        <is>
          <t>Pricing Shifts</t>
        </is>
      </c>
      <c r="E56" s="13" t="inlineStr">
        <is>
          <t>R-40</t>
        </is>
      </c>
      <c r="F56" s="14" t="inlineStr">
        <is>
          <t>Freemium Model Launch</t>
        </is>
      </c>
      <c r="G56" s="14" t="inlineStr">
        <is>
          <t>N/A</t>
        </is>
      </c>
      <c r="H56" s="15" t="n">
        <v>8</v>
      </c>
      <c r="I56" s="14" t="inlineStr">
        <is>
          <t>SINGLE</t>
        </is>
      </c>
      <c r="J56" s="14" t="inlineStr">
        <is>
          <t>G_PRICING</t>
        </is>
      </c>
      <c r="K56" s="14" t="inlineStr">
        <is>
          <t>Yes</t>
        </is>
      </c>
      <c r="L56" s="14" t="inlineStr">
        <is>
          <t>free tier launch, freemium access, free signup, zero cost starter, free usage limits</t>
        </is>
      </c>
      <c r="M56" s="14" t="inlineStr">
        <is>
          <t>free, freemium, tier</t>
        </is>
      </c>
      <c r="N56" s="15" t="n">
        <v>0</v>
      </c>
      <c r="O56" s="15" t="n">
        <v>0</v>
      </c>
      <c r="P56" s="15">
        <f>H56*(0.4*N56+0.6*O56)</f>
        <v/>
      </c>
      <c r="Q56" s="14" t="inlineStr">
        <is>
          <t>Free usage tier introduced to drive growth.</t>
        </is>
      </c>
      <c r="R56" s="14" t="inlineStr">
        <is>
          <t>Assign 8 points if competitor launches a freemium model.</t>
        </is>
      </c>
    </row>
    <row r="57">
      <c r="A57" s="11" t="inlineStr">
        <is>
          <t>Strategic Intent (SI)</t>
        </is>
      </c>
      <c r="B57" s="11" t="inlineStr">
        <is>
          <t>SI</t>
        </is>
      </c>
      <c r="C57" s="12" t="inlineStr">
        <is>
          <t>Strategic Context</t>
        </is>
      </c>
      <c r="D57" s="12" t="inlineStr">
        <is>
          <t>Pricing Shifts</t>
        </is>
      </c>
      <c r="E57" s="11" t="inlineStr">
        <is>
          <t>R-41</t>
        </is>
      </c>
      <c r="F57" s="12" t="inlineStr">
        <is>
          <t>Contract Length Changes</t>
        </is>
      </c>
      <c r="G57" s="12" t="inlineStr">
        <is>
          <t>N/A</t>
        </is>
      </c>
      <c r="H57" s="16" t="n">
        <v>5</v>
      </c>
      <c r="I57" s="12" t="inlineStr">
        <is>
          <t>SINGLE</t>
        </is>
      </c>
      <c r="J57" s="12" t="inlineStr">
        <is>
          <t>G_PRICING</t>
        </is>
      </c>
      <c r="K57" s="12" t="inlineStr">
        <is>
          <t>Yes</t>
        </is>
      </c>
      <c r="L57" s="12" t="inlineStr">
        <is>
          <t>annual lock-in, monthly subscription flexibility, multi-year deal, cancellation terms update</t>
        </is>
      </c>
      <c r="M57" s="12" t="inlineStr">
        <is>
          <t>contract, terms, length</t>
        </is>
      </c>
      <c r="N57" s="16" t="n">
        <v>0</v>
      </c>
      <c r="O57" s="16" t="n">
        <v>0</v>
      </c>
      <c r="P57" s="16">
        <f>H57*(0.4*N57+0.6*O57)</f>
        <v/>
      </c>
      <c r="Q57" s="12" t="inlineStr">
        <is>
          <t>Shifting from annual to monthly or multi-year terms.</t>
        </is>
      </c>
      <c r="R57" s="12" t="inlineStr">
        <is>
          <t>Assign 5 points if contract requirements change.</t>
        </is>
      </c>
    </row>
    <row r="58">
      <c r="A58" s="13" t="inlineStr">
        <is>
          <t>Strategic Intent (SI)</t>
        </is>
      </c>
      <c r="B58" s="13" t="inlineStr">
        <is>
          <t>SI</t>
        </is>
      </c>
      <c r="C58" s="14" t="inlineStr">
        <is>
          <t>Strategic Context</t>
        </is>
      </c>
      <c r="D58" s="14" t="inlineStr">
        <is>
          <t>Narrative Stance</t>
        </is>
      </c>
      <c r="E58" s="13" t="inlineStr">
        <is>
          <t>R-42</t>
        </is>
      </c>
      <c r="F58" s="14" t="inlineStr">
        <is>
          <t>Autonomous Outcomes Narrative</t>
        </is>
      </c>
      <c r="G58" s="14" t="inlineStr">
        <is>
          <t>N/A</t>
        </is>
      </c>
      <c r="H58" s="15" t="n">
        <v>10</v>
      </c>
      <c r="I58" s="14" t="inlineStr">
        <is>
          <t>SINGLE</t>
        </is>
      </c>
      <c r="J58" s="14" t="inlineStr">
        <is>
          <t>G_NARRATIVE</t>
        </is>
      </c>
      <c r="K58" s="14" t="inlineStr">
        <is>
          <t>Yes</t>
        </is>
      </c>
      <c r="L58" s="14" t="inlineStr">
        <is>
          <t>We Do It For You, zero-touch travel, outcome ownership, stop managing trips, autopilot travel</t>
        </is>
      </c>
      <c r="M58" s="14" t="inlineStr">
        <is>
          <t>outcomes, zero-touch, autopilot</t>
        </is>
      </c>
      <c r="N58" s="15" t="n">
        <v>0</v>
      </c>
      <c r="O58" s="15" t="n">
        <v>0</v>
      </c>
      <c r="P58" s="15">
        <f>H58*(0.4*N58+0.6*O58)</f>
        <v/>
      </c>
      <c r="Q58" s="14" t="inlineStr">
        <is>
          <t>Positioning around outcome ownership, not booking tools.</t>
        </is>
      </c>
      <c r="R58" s="14" t="inlineStr">
        <is>
          <t>Assign 10 points if narrative is autonomous outcomes.</t>
        </is>
      </c>
    </row>
    <row r="59">
      <c r="A59" s="11" t="inlineStr">
        <is>
          <t>Strategic Intent (SI)</t>
        </is>
      </c>
      <c r="B59" s="11" t="inlineStr">
        <is>
          <t>SI</t>
        </is>
      </c>
      <c r="C59" s="12" t="inlineStr">
        <is>
          <t>Strategic Context</t>
        </is>
      </c>
      <c r="D59" s="12" t="inlineStr">
        <is>
          <t>Narrative Stance</t>
        </is>
      </c>
      <c r="E59" s="11" t="inlineStr">
        <is>
          <t>R-43</t>
        </is>
      </c>
      <c r="F59" s="12" t="inlineStr">
        <is>
          <t>Traveler Joy / Experience</t>
        </is>
      </c>
      <c r="G59" s="12" t="inlineStr">
        <is>
          <t>N/A</t>
        </is>
      </c>
      <c r="H59" s="16" t="n">
        <v>6</v>
      </c>
      <c r="I59" s="12" t="inlineStr">
        <is>
          <t>SINGLE</t>
        </is>
      </c>
      <c r="J59" s="12" t="inlineStr">
        <is>
          <t>G_NARRATIVE</t>
        </is>
      </c>
      <c r="K59" s="12" t="inlineStr">
        <is>
          <t>Yes</t>
        </is>
      </c>
      <c r="L59" s="12" t="inlineStr">
        <is>
          <t>traveler joy, employee happiness, seamless booking experience, traveler experience, booking convenience</t>
        </is>
      </c>
      <c r="M59" s="12" t="inlineStr">
        <is>
          <t>joy, happiness, experience</t>
        </is>
      </c>
      <c r="N59" s="16" t="n">
        <v>0</v>
      </c>
      <c r="O59" s="16" t="n">
        <v>0</v>
      </c>
      <c r="P59" s="16">
        <f>H59*(0.4*N59+0.6*O59)</f>
        <v/>
      </c>
      <c r="Q59" s="12" t="inlineStr">
        <is>
          <t>Focusing on employee happiness during travel booking.</t>
        </is>
      </c>
      <c r="R59" s="12" t="inlineStr">
        <is>
          <t>Assign 6 points if narrative is traveler joy.</t>
        </is>
      </c>
    </row>
    <row r="60">
      <c r="A60" s="13" t="inlineStr">
        <is>
          <t>Strategic Intent (SI)</t>
        </is>
      </c>
      <c r="B60" s="13" t="inlineStr">
        <is>
          <t>SI</t>
        </is>
      </c>
      <c r="C60" s="14" t="inlineStr">
        <is>
          <t>Strategic Context</t>
        </is>
      </c>
      <c r="D60" s="14" t="inlineStr">
        <is>
          <t>Narrative Stance</t>
        </is>
      </c>
      <c r="E60" s="13" t="inlineStr">
        <is>
          <t>R-44</t>
        </is>
      </c>
      <c r="F60" s="14" t="inlineStr">
        <is>
          <t>Compliance &amp; Cost Control</t>
        </is>
      </c>
      <c r="G60" s="14" t="inlineStr">
        <is>
          <t>N/A</t>
        </is>
      </c>
      <c r="H60" s="15" t="n">
        <v>8</v>
      </c>
      <c r="I60" s="14" t="inlineStr">
        <is>
          <t>SINGLE</t>
        </is>
      </c>
      <c r="J60" s="14" t="inlineStr">
        <is>
          <t>G_NARRATIVE</t>
        </is>
      </c>
      <c r="K60" s="14" t="inlineStr">
        <is>
          <t>Yes</t>
        </is>
      </c>
      <c r="L60" s="14" t="inlineStr">
        <is>
          <t>policy compliance, spend control policies, CFO financial tools, travel cost reduction, budget limits enforcement</t>
        </is>
      </c>
      <c r="M60" s="14" t="inlineStr">
        <is>
          <t>compliance, cost, budget</t>
        </is>
      </c>
      <c r="N60" s="15" t="n">
        <v>0</v>
      </c>
      <c r="O60" s="15" t="n">
        <v>0</v>
      </c>
      <c r="P60" s="15">
        <f>H60*(0.4*N60+0.6*O60)</f>
        <v/>
      </c>
      <c r="Q60" s="14" t="inlineStr">
        <is>
          <t>Targeting CFO budget management.</t>
        </is>
      </c>
      <c r="R60" s="14" t="inlineStr">
        <is>
          <t>Assign 8 points if narrative is policy compliance/control.</t>
        </is>
      </c>
    </row>
    <row r="61">
      <c r="A61" s="11" t="inlineStr">
        <is>
          <t>Strategic Intent (SI)</t>
        </is>
      </c>
      <c r="B61" s="11" t="inlineStr">
        <is>
          <t>SI</t>
        </is>
      </c>
      <c r="C61" s="12" t="inlineStr">
        <is>
          <t>Strategic Context</t>
        </is>
      </c>
      <c r="D61" s="12" t="inlineStr">
        <is>
          <t>Narrative Stance</t>
        </is>
      </c>
      <c r="E61" s="11" t="inlineStr">
        <is>
          <t>R-45</t>
        </is>
      </c>
      <c r="F61" s="12" t="inlineStr">
        <is>
          <t>FinOps / Expense Efficiency</t>
        </is>
      </c>
      <c r="G61" s="12" t="inlineStr">
        <is>
          <t>N/A</t>
        </is>
      </c>
      <c r="H61" s="16" t="n">
        <v>7</v>
      </c>
      <c r="I61" s="12" t="inlineStr">
        <is>
          <t>SINGLE</t>
        </is>
      </c>
      <c r="J61" s="12" t="inlineStr">
        <is>
          <t>G_NARRATIVE</t>
        </is>
      </c>
      <c r="K61" s="12" t="inlineStr">
        <is>
          <t>Yes</t>
        </is>
      </c>
      <c r="L61" s="12" t="inlineStr">
        <is>
          <t>expense automation, receipt scan upload, invoice matching automation, finance efficiency, card controls</t>
        </is>
      </c>
      <c r="M61" s="12" t="inlineStr">
        <is>
          <t>expense, efficiency, cards</t>
        </is>
      </c>
      <c r="N61" s="16" t="n">
        <v>0</v>
      </c>
      <c r="O61" s="16" t="n">
        <v>0</v>
      </c>
      <c r="P61" s="16">
        <f>H61*(0.4*N61+0.6*O61)</f>
        <v/>
      </c>
      <c r="Q61" s="12" t="inlineStr">
        <is>
          <t>Focusing on automating expense reporting.</t>
        </is>
      </c>
      <c r="R61" s="12" t="inlineStr">
        <is>
          <t>Assign 7 points if narrative is expense efficiency.</t>
        </is>
      </c>
    </row>
    <row r="62">
      <c r="A62" s="13" t="inlineStr">
        <is>
          <t>Execution Momentum (EM)</t>
        </is>
      </c>
      <c r="B62" s="13" t="inlineStr">
        <is>
          <t>EM</t>
        </is>
      </c>
      <c r="C62" s="14" t="inlineStr">
        <is>
          <t>Source &amp; Evidence</t>
        </is>
      </c>
      <c r="D62" s="14" t="inlineStr">
        <is>
          <t>Evidence Class</t>
        </is>
      </c>
      <c r="E62" s="13" t="inlineStr">
        <is>
          <t>R-46</t>
        </is>
      </c>
      <c r="F62" s="14" t="inlineStr">
        <is>
          <t>Primary Technical Evidence</t>
        </is>
      </c>
      <c r="G62" s="14" t="inlineStr">
        <is>
          <t>N/A</t>
        </is>
      </c>
      <c r="H62" s="15" t="n">
        <v>10</v>
      </c>
      <c r="I62" s="14" t="inlineStr">
        <is>
          <t>SINGLE</t>
        </is>
      </c>
      <c r="J62" s="14" t="inlineStr">
        <is>
          <t>G_EVIDENCE</t>
        </is>
      </c>
      <c r="K62" s="14" t="inlineStr">
        <is>
          <t>Yes</t>
        </is>
      </c>
      <c r="L62" s="14" t="inlineStr">
        <is>
          <t>active Meta ads, changelog release, API portal update, live pricing page changes</t>
        </is>
      </c>
      <c r="M62" s="14" t="inlineStr">
        <is>
          <t>ads, changelog, portal, live</t>
        </is>
      </c>
      <c r="N62" s="15" t="n">
        <v>0</v>
      </c>
      <c r="O62" s="15" t="n">
        <v>0</v>
      </c>
      <c r="P62" s="15">
        <f>H62*(0.4*N62+0.6*O62)</f>
        <v/>
      </c>
      <c r="Q62" s="14" t="inlineStr">
        <is>
          <t>Verifiable directly from pricing page updates, changelogs, or active ads.</t>
        </is>
      </c>
      <c r="R62" s="14" t="inlineStr">
        <is>
          <t>Assign 10 points if primary source is verified.</t>
        </is>
      </c>
    </row>
    <row r="63">
      <c r="A63" s="11" t="inlineStr">
        <is>
          <t>Execution Momentum (EM)</t>
        </is>
      </c>
      <c r="B63" s="11" t="inlineStr">
        <is>
          <t>EM</t>
        </is>
      </c>
      <c r="C63" s="12" t="inlineStr">
        <is>
          <t>Source &amp; Evidence</t>
        </is>
      </c>
      <c r="D63" s="12" t="inlineStr">
        <is>
          <t>Evidence Class</t>
        </is>
      </c>
      <c r="E63" s="11" t="inlineStr">
        <is>
          <t>R-47</t>
        </is>
      </c>
      <c r="F63" s="12" t="inlineStr">
        <is>
          <t>Verified Pricing Snapshot</t>
        </is>
      </c>
      <c r="G63" s="12" t="inlineStr">
        <is>
          <t>N/A</t>
        </is>
      </c>
      <c r="H63" s="16" t="n">
        <v>8</v>
      </c>
      <c r="I63" s="12" t="inlineStr">
        <is>
          <t>SINGLE</t>
        </is>
      </c>
      <c r="J63" s="12" t="inlineStr">
        <is>
          <t>G_EVIDENCE</t>
        </is>
      </c>
      <c r="K63" s="12" t="inlineStr">
        <is>
          <t>Yes</t>
        </is>
      </c>
      <c r="L63" s="12" t="inlineStr">
        <is>
          <t>Pricing page scraped, pricing raise detected, archived pricing snapshot</t>
        </is>
      </c>
      <c r="M63" s="12" t="inlineStr">
        <is>
          <t>pricing, snapshot, scraped</t>
        </is>
      </c>
      <c r="N63" s="16" t="n">
        <v>0</v>
      </c>
      <c r="O63" s="16" t="n">
        <v>0</v>
      </c>
      <c r="P63" s="16">
        <f>H63*(0.4*N63+0.6*O63)</f>
        <v/>
      </c>
      <c r="Q63" s="12" t="inlineStr">
        <is>
          <t>Scraped pricing change verified via screenshot/archive.</t>
        </is>
      </c>
      <c r="R63" s="12" t="inlineStr">
        <is>
          <t>Assign 8 points if pricing snapshot is captured.</t>
        </is>
      </c>
    </row>
    <row r="64">
      <c r="A64" s="13" t="inlineStr">
        <is>
          <t>Execution Momentum (EM)</t>
        </is>
      </c>
      <c r="B64" s="13" t="inlineStr">
        <is>
          <t>EM</t>
        </is>
      </c>
      <c r="C64" s="14" t="inlineStr">
        <is>
          <t>Source &amp; Evidence</t>
        </is>
      </c>
      <c r="D64" s="14" t="inlineStr">
        <is>
          <t>Evidence Class</t>
        </is>
      </c>
      <c r="E64" s="13" t="inlineStr">
        <is>
          <t>R-48</t>
        </is>
      </c>
      <c r="F64" s="14" t="inlineStr">
        <is>
          <t>Tier-1 Media Press</t>
        </is>
      </c>
      <c r="G64" s="14" t="inlineStr">
        <is>
          <t>N/A</t>
        </is>
      </c>
      <c r="H64" s="15" t="n">
        <v>7</v>
      </c>
      <c r="I64" s="14" t="inlineStr">
        <is>
          <t>SINGLE</t>
        </is>
      </c>
      <c r="J64" s="14" t="inlineStr">
        <is>
          <t>G_EVIDENCE</t>
        </is>
      </c>
      <c r="K64" s="14" t="inlineStr">
        <is>
          <t>Yes</t>
        </is>
      </c>
      <c r="L64" s="14" t="inlineStr">
        <is>
          <t>TechCrunch coverage, Reuters report, Bloomberg article, Financial Times publication, Wall Street Journal report, Barron's news, citybiz</t>
        </is>
      </c>
      <c r="M64" s="14" t="inlineStr">
        <is>
          <t>TechCrunch, Reuters, Bloomberg, WSJ, FT, Barron's, citybiz</t>
        </is>
      </c>
      <c r="N64" s="15" t="n">
        <v>0</v>
      </c>
      <c r="O64" s="15" t="n">
        <v>0</v>
      </c>
      <c r="P64" s="15">
        <f>H64*(0.4*N64+0.6*O64)</f>
        <v/>
      </c>
      <c r="Q64" s="14" t="inlineStr">
        <is>
          <t>Journalistic reporting from trusted financial media.</t>
        </is>
      </c>
      <c r="R64" s="14" t="inlineStr">
        <is>
          <t>Assign 7 points if reported by Tier-1 publications.</t>
        </is>
      </c>
    </row>
    <row r="65">
      <c r="A65" s="11" t="inlineStr">
        <is>
          <t>Execution Momentum (EM)</t>
        </is>
      </c>
      <c r="B65" s="11" t="inlineStr">
        <is>
          <t>EM</t>
        </is>
      </c>
      <c r="C65" s="12" t="inlineStr">
        <is>
          <t>Source &amp; Evidence</t>
        </is>
      </c>
      <c r="D65" s="12" t="inlineStr">
        <is>
          <t>Evidence Class</t>
        </is>
      </c>
      <c r="E65" s="11" t="inlineStr">
        <is>
          <t>R-49</t>
        </is>
      </c>
      <c r="F65" s="12" t="inlineStr">
        <is>
          <t>Competitor Blog / PR Release</t>
        </is>
      </c>
      <c r="G65" s="12" t="inlineStr">
        <is>
          <t>N/A</t>
        </is>
      </c>
      <c r="H65" s="16" t="n">
        <v>4</v>
      </c>
      <c r="I65" s="12" t="inlineStr">
        <is>
          <t>SINGLE</t>
        </is>
      </c>
      <c r="J65" s="12" t="inlineStr">
        <is>
          <t>G_EVIDENCE</t>
        </is>
      </c>
      <c r="K65" s="12" t="inlineStr">
        <is>
          <t>Yes</t>
        </is>
      </c>
      <c r="L65" s="12" t="inlineStr">
        <is>
          <t>company blog post, official press release, corporate newsletter, self-published announcement</t>
        </is>
      </c>
      <c r="M65" s="12" t="inlineStr">
        <is>
          <t>blog, release, newsletter</t>
        </is>
      </c>
      <c r="N65" s="16" t="n">
        <v>0</v>
      </c>
      <c r="O65" s="16" t="n">
        <v>0</v>
      </c>
      <c r="P65" s="16">
        <f>H65*(0.4*N65+0.6*O65)</f>
        <v/>
      </c>
      <c r="Q65" s="12" t="inlineStr">
        <is>
          <t>Self-promotional content published on competitor channels.</t>
        </is>
      </c>
      <c r="R65" s="12" t="inlineStr">
        <is>
          <t>Assign 4 points if published on competitor blogs/press releases.</t>
        </is>
      </c>
    </row>
    <row r="66">
      <c r="A66" s="13" t="inlineStr">
        <is>
          <t>Execution Momentum (EM)</t>
        </is>
      </c>
      <c r="B66" s="13" t="inlineStr">
        <is>
          <t>EM</t>
        </is>
      </c>
      <c r="C66" s="14" t="inlineStr">
        <is>
          <t>Resource Backing</t>
        </is>
      </c>
      <c r="D66" s="14" t="inlineStr">
        <is>
          <t>Funding Strength</t>
        </is>
      </c>
      <c r="E66" s="13" t="inlineStr">
        <is>
          <t>R-50</t>
        </is>
      </c>
      <c r="F66" s="14" t="inlineStr">
        <is>
          <t>Heavy Capital / Mega M&amp;A</t>
        </is>
      </c>
      <c r="G66" s="14" t="inlineStr">
        <is>
          <t>N/A</t>
        </is>
      </c>
      <c r="H66" s="15" t="n">
        <v>10</v>
      </c>
      <c r="I66" s="14" t="inlineStr">
        <is>
          <t>SINGLE</t>
        </is>
      </c>
      <c r="J66" s="14" t="inlineStr">
        <is>
          <t>G_FUND_STRENGTH</t>
        </is>
      </c>
      <c r="K66" s="14" t="inlineStr">
        <is>
          <t>Yes</t>
        </is>
      </c>
      <c r="L66" s="14" t="inlineStr">
        <is>
          <t>raised $200M, acquired Egencia portfolio, Series C venture backing, massive Sequoia round, acquired CWT, Series E funding, Smartrips acquisition</t>
        </is>
      </c>
      <c r="M66" s="14" t="inlineStr">
        <is>
          <t>$100M, $200M, acquisition, Egencia, CWT, Smartrips</t>
        </is>
      </c>
      <c r="N66" s="15" t="n">
        <v>0</v>
      </c>
      <c r="O66" s="15" t="n">
        <v>0</v>
      </c>
      <c r="P66" s="15">
        <f>H66*(0.4*N66+0.6*O66)</f>
        <v/>
      </c>
      <c r="Q66" s="14" t="inlineStr">
        <is>
          <t>Massive capital backing or acquisition scale.</t>
        </is>
      </c>
      <c r="R66" s="14" t="inlineStr">
        <is>
          <t>Assign 10 points if round/deal is &gt; $50M.</t>
        </is>
      </c>
    </row>
    <row r="67">
      <c r="A67" s="11" t="inlineStr">
        <is>
          <t>Execution Momentum (EM)</t>
        </is>
      </c>
      <c r="B67" s="11" t="inlineStr">
        <is>
          <t>EM</t>
        </is>
      </c>
      <c r="C67" s="12" t="inlineStr">
        <is>
          <t>Resource Backing</t>
        </is>
      </c>
      <c r="D67" s="12" t="inlineStr">
        <is>
          <t>Funding Strength</t>
        </is>
      </c>
      <c r="E67" s="11" t="inlineStr">
        <is>
          <t>R-51</t>
        </is>
      </c>
      <c r="F67" s="12" t="inlineStr">
        <is>
          <t>Moderate Funding / Series A</t>
        </is>
      </c>
      <c r="G67" s="12" t="inlineStr">
        <is>
          <t>N/A</t>
        </is>
      </c>
      <c r="H67" s="16" t="n">
        <v>7</v>
      </c>
      <c r="I67" s="12" t="inlineStr">
        <is>
          <t>SINGLE</t>
        </is>
      </c>
      <c r="J67" s="12" t="inlineStr">
        <is>
          <t>G_FUND_STRENGTH</t>
        </is>
      </c>
      <c r="K67" s="12" t="inlineStr">
        <is>
          <t>Yes</t>
        </is>
      </c>
      <c r="L67" s="12" t="inlineStr">
        <is>
          <t>raised $18M Series A, Series A round capital, mid-market funding round</t>
        </is>
      </c>
      <c r="M67" s="12" t="inlineStr">
        <is>
          <t>Series A, Series B, funding</t>
        </is>
      </c>
      <c r="N67" s="16" t="n">
        <v>0</v>
      </c>
      <c r="O67" s="16" t="n">
        <v>0</v>
      </c>
      <c r="P67" s="16">
        <f>H67*(0.4*N67+0.6*O67)</f>
        <v/>
      </c>
      <c r="Q67" s="12" t="inlineStr">
        <is>
          <t>Mid-scale venture round backing.</t>
        </is>
      </c>
      <c r="R67" s="12" t="inlineStr">
        <is>
          <t>Assign 7 points if round is $10M - $50M.</t>
        </is>
      </c>
    </row>
    <row r="68">
      <c r="A68" s="13" t="inlineStr">
        <is>
          <t>Execution Momentum (EM)</t>
        </is>
      </c>
      <c r="B68" s="13" t="inlineStr">
        <is>
          <t>EM</t>
        </is>
      </c>
      <c r="C68" s="14" t="inlineStr">
        <is>
          <t>Resource Backing</t>
        </is>
      </c>
      <c r="D68" s="14" t="inlineStr">
        <is>
          <t>Funding Strength</t>
        </is>
      </c>
      <c r="E68" s="13" t="inlineStr">
        <is>
          <t>R-52</t>
        </is>
      </c>
      <c r="F68" s="14" t="inlineStr">
        <is>
          <t>Seed Funding</t>
        </is>
      </c>
      <c r="G68" s="14" t="inlineStr">
        <is>
          <t>N/A</t>
        </is>
      </c>
      <c r="H68" s="15" t="n">
        <v>5</v>
      </c>
      <c r="I68" s="14" t="inlineStr">
        <is>
          <t>SINGLE</t>
        </is>
      </c>
      <c r="J68" s="14" t="inlineStr">
        <is>
          <t>G_FUND_STRENGTH</t>
        </is>
      </c>
      <c r="K68" s="14" t="inlineStr">
        <is>
          <t>Yes</t>
        </is>
      </c>
      <c r="L68" s="14" t="inlineStr">
        <is>
          <t>raised $4.2M seed, seed round financing, pre-seed capital, angel round funding</t>
        </is>
      </c>
      <c r="M68" s="14" t="inlineStr">
        <is>
          <t>seed, pre-seed, angel</t>
        </is>
      </c>
      <c r="N68" s="15" t="n">
        <v>0</v>
      </c>
      <c r="O68" s="15" t="n">
        <v>0</v>
      </c>
      <c r="P68" s="15">
        <f>H68*(0.4*N68+0.6*O68)</f>
        <v/>
      </c>
      <c r="Q68" s="14" t="inlineStr">
        <is>
          <t>Early-stage seed validation.</t>
        </is>
      </c>
      <c r="R68" s="14" t="inlineStr">
        <is>
          <t>Assign 5 points if round is &lt; $10M.</t>
        </is>
      </c>
    </row>
    <row r="69">
      <c r="A69" s="11" t="inlineStr">
        <is>
          <t>Execution Momentum (EM)</t>
        </is>
      </c>
      <c r="B69" s="11" t="inlineStr">
        <is>
          <t>EM</t>
        </is>
      </c>
      <c r="C69" s="12" t="inlineStr">
        <is>
          <t>Resource Backing</t>
        </is>
      </c>
      <c r="D69" s="12" t="inlineStr">
        <is>
          <t>Funding Strength</t>
        </is>
      </c>
      <c r="E69" s="11" t="inlineStr">
        <is>
          <t>R-53</t>
        </is>
      </c>
      <c r="F69" s="12" t="inlineStr">
        <is>
          <t>Bootstrapped / Organic</t>
        </is>
      </c>
      <c r="G69" s="12" t="inlineStr">
        <is>
          <t>N/A</t>
        </is>
      </c>
      <c r="H69" s="16" t="n">
        <v>3</v>
      </c>
      <c r="I69" s="12" t="inlineStr">
        <is>
          <t>SINGLE</t>
        </is>
      </c>
      <c r="J69" s="12" t="inlineStr">
        <is>
          <t>G_FUND_STRENGTH</t>
        </is>
      </c>
      <c r="K69" s="12" t="inlineStr">
        <is>
          <t>Yes</t>
        </is>
      </c>
      <c r="L69" s="12" t="inlineStr">
        <is>
          <t>internal resource allocation, bootstrapped travel startup, organic budget allocation, zero venture capital</t>
        </is>
      </c>
      <c r="M69" s="12" t="inlineStr">
        <is>
          <t>bootstrapped, organic, internal</t>
        </is>
      </c>
      <c r="N69" s="16" t="n">
        <v>0</v>
      </c>
      <c r="O69" s="16" t="n">
        <v>0</v>
      </c>
      <c r="P69" s="16">
        <f>H69*(0.4*N69+0.6*O69)</f>
        <v/>
      </c>
      <c r="Q69" s="12" t="inlineStr">
        <is>
          <t>No new capital introduced.</t>
        </is>
      </c>
      <c r="R69" s="12" t="inlineStr">
        <is>
          <t>Assign 3 points if no external funding is mentioned.</t>
        </is>
      </c>
    </row>
    <row r="70">
      <c r="A70" s="13" t="inlineStr">
        <is>
          <t>Execution Momentum (EM)</t>
        </is>
      </c>
      <c r="B70" s="13" t="inlineStr">
        <is>
          <t>EM</t>
        </is>
      </c>
      <c r="C70" s="14" t="inlineStr">
        <is>
          <t>Market Validation</t>
        </is>
      </c>
      <c r="D70" s="14" t="inlineStr">
        <is>
          <t>Community Traction</t>
        </is>
      </c>
      <c r="E70" s="13" t="inlineStr">
        <is>
          <t>R-54</t>
        </is>
      </c>
      <c r="F70" s="14" t="inlineStr">
        <is>
          <t>HN / Product Hunt #1</t>
        </is>
      </c>
      <c r="G70" s="14" t="inlineStr">
        <is>
          <t>N/A</t>
        </is>
      </c>
      <c r="H70" s="15" t="n">
        <v>10</v>
      </c>
      <c r="I70" s="14" t="inlineStr">
        <is>
          <t>SINGLE</t>
        </is>
      </c>
      <c r="J70" s="14" t="inlineStr">
        <is>
          <t>G_MARKET_TRACTION</t>
        </is>
      </c>
      <c r="K70" s="14" t="inlineStr">
        <is>
          <t>Yes</t>
        </is>
      </c>
      <c r="L70" s="14" t="inlineStr">
        <is>
          <t>Hacker News launch, Product Hunt #1, featured on Product Hunt, HN top page</t>
        </is>
      </c>
      <c r="M70" s="14" t="inlineStr">
        <is>
          <t>Product Hunt, HN, Hacker News</t>
        </is>
      </c>
      <c r="N70" s="15" t="n">
        <v>0</v>
      </c>
      <c r="O70" s="15" t="n">
        <v>0</v>
      </c>
      <c r="P70" s="15">
        <f>H70*(0.4*N70+0.6*O70)</f>
        <v/>
      </c>
      <c r="Q70" s="14" t="inlineStr">
        <is>
          <t>Highly viral launch verified by developer community.</t>
        </is>
      </c>
      <c r="R70" s="14" t="inlineStr">
        <is>
          <t>Assign 10 points if Product Hunt #1 or HN front page is matched.</t>
        </is>
      </c>
    </row>
    <row r="71">
      <c r="A71" s="11" t="inlineStr">
        <is>
          <t>Execution Momentum (EM)</t>
        </is>
      </c>
      <c r="B71" s="11" t="inlineStr">
        <is>
          <t>EM</t>
        </is>
      </c>
      <c r="C71" s="12" t="inlineStr">
        <is>
          <t>Market Validation</t>
        </is>
      </c>
      <c r="D71" s="12" t="inlineStr">
        <is>
          <t>Community Traction</t>
        </is>
      </c>
      <c r="E71" s="11" t="inlineStr">
        <is>
          <t>R-55</t>
        </is>
      </c>
      <c r="F71" s="12" t="inlineStr">
        <is>
          <t>Reddit / G2 Viral Backlash</t>
        </is>
      </c>
      <c r="G71" s="12" t="inlineStr">
        <is>
          <t>N/A</t>
        </is>
      </c>
      <c r="H71" s="16" t="n">
        <v>8</v>
      </c>
      <c r="I71" s="12" t="inlineStr">
        <is>
          <t>SINGLE</t>
        </is>
      </c>
      <c r="J71" s="12" t="inlineStr">
        <is>
          <t>G_MARKET_TRACTION</t>
        </is>
      </c>
      <c r="K71" s="12" t="inlineStr">
        <is>
          <t>Yes</t>
        </is>
      </c>
      <c r="L71" s="12" t="inlineStr">
        <is>
          <t>r/sap corporate backlash, negative G2 reviews, Reddit complaints, customer outcry, user backlash</t>
        </is>
      </c>
      <c r="M71" s="12" t="inlineStr">
        <is>
          <t>Reddit, complaints, backlash, G2</t>
        </is>
      </c>
      <c r="N71" s="16" t="n">
        <v>0</v>
      </c>
      <c r="O71" s="16" t="n">
        <v>0</v>
      </c>
      <c r="P71" s="16">
        <f>H71*(0.4*N71+0.6*O71)</f>
        <v/>
      </c>
      <c r="Q71" s="12" t="inlineStr">
        <is>
          <t>Negative user sentiment spikes on public forums.</t>
        </is>
      </c>
      <c r="R71" s="12" t="inlineStr">
        <is>
          <t>Assign 8 points if customer backlash is verified on forums/reviews.</t>
        </is>
      </c>
    </row>
    <row r="72">
      <c r="A72" s="13" t="inlineStr">
        <is>
          <t>Execution Momentum (EM)</t>
        </is>
      </c>
      <c r="B72" s="13" t="inlineStr">
        <is>
          <t>EM</t>
        </is>
      </c>
      <c r="C72" s="14" t="inlineStr">
        <is>
          <t>Market Validation</t>
        </is>
      </c>
      <c r="D72" s="14" t="inlineStr">
        <is>
          <t>Community Traction</t>
        </is>
      </c>
      <c r="E72" s="13" t="inlineStr">
        <is>
          <t>R-56</t>
        </is>
      </c>
      <c r="F72" s="14" t="inlineStr">
        <is>
          <t>GitHub Star / Dev Spike</t>
        </is>
      </c>
      <c r="G72" s="14" t="inlineStr">
        <is>
          <t>N/A</t>
        </is>
      </c>
      <c r="H72" s="15" t="n">
        <v>6</v>
      </c>
      <c r="I72" s="14" t="inlineStr">
        <is>
          <t>SINGLE</t>
        </is>
      </c>
      <c r="J72" s="14" t="inlineStr">
        <is>
          <t>G_MARKET_TRACTION</t>
        </is>
      </c>
      <c r="K72" s="14" t="inlineStr">
        <is>
          <t>Yes</t>
        </is>
      </c>
      <c r="L72" s="14" t="inlineStr">
        <is>
          <t>GitHub stars count, trending GitHub repository, open-source repository active, developer star spike</t>
        </is>
      </c>
      <c r="M72" s="14" t="inlineStr">
        <is>
          <t>GitHub, repository, developer, stars</t>
        </is>
      </c>
      <c r="N72" s="15" t="n">
        <v>0</v>
      </c>
      <c r="O72" s="15" t="n">
        <v>0</v>
      </c>
      <c r="P72" s="15">
        <f>H72*(0.4*N72+0.6*O72)</f>
        <v/>
      </c>
      <c r="Q72" s="14" t="inlineStr">
        <is>
          <t>Spike in repository star/dev activity in GitHub.</t>
        </is>
      </c>
      <c r="R72" s="14" t="inlineStr">
        <is>
          <t>Assign 6 points if repo shows active developer interest.</t>
        </is>
      </c>
    </row>
    <row r="73">
      <c r="A73" s="11" t="inlineStr">
        <is>
          <t>Execution Momentum (EM)</t>
        </is>
      </c>
      <c r="B73" s="11" t="inlineStr">
        <is>
          <t>EM</t>
        </is>
      </c>
      <c r="C73" s="12" t="inlineStr">
        <is>
          <t>Market Validation</t>
        </is>
      </c>
      <c r="D73" s="12" t="inlineStr">
        <is>
          <t>Community Traction</t>
        </is>
      </c>
      <c r="E73" s="11" t="inlineStr">
        <is>
          <t>R-57</t>
        </is>
      </c>
      <c r="F73" s="12" t="inlineStr">
        <is>
          <t>Low Public Engagement</t>
        </is>
      </c>
      <c r="G73" s="12" t="inlineStr">
        <is>
          <t>N/A</t>
        </is>
      </c>
      <c r="H73" s="16" t="n">
        <v>2</v>
      </c>
      <c r="I73" s="12" t="inlineStr">
        <is>
          <t>SINGLE</t>
        </is>
      </c>
      <c r="J73" s="12" t="inlineStr">
        <is>
          <t>G_MARKET_TRACTION</t>
        </is>
      </c>
      <c r="K73" s="12" t="inlineStr">
        <is>
          <t>Yes</t>
        </is>
      </c>
      <c r="L73" s="12" t="inlineStr">
        <is>
          <t>zero comments online, no social shares, zero likes, unquantifiable engagement metrics, citybiz readers, low engagement</t>
        </is>
      </c>
      <c r="M73" s="12" t="inlineStr">
        <is>
          <t>low, engagement, none</t>
        </is>
      </c>
      <c r="N73" s="16" t="n">
        <v>0</v>
      </c>
      <c r="O73" s="16" t="n">
        <v>0</v>
      </c>
      <c r="P73" s="16">
        <f>H73*(0.4*N73+0.6*O73)</f>
        <v/>
      </c>
      <c r="Q73" s="12" t="inlineStr">
        <is>
          <t>Zero public response or social interactions.</t>
        </is>
      </c>
      <c r="R73" s="12" t="inlineStr">
        <is>
          <t>Assign 2 points if the move receives no public traction.</t>
        </is>
      </c>
    </row>
    <row r="74">
      <c r="A74" s="13" t="inlineStr">
        <is>
          <t>Execution Momentum (EM)</t>
        </is>
      </c>
      <c r="B74" s="13" t="inlineStr">
        <is>
          <t>EM</t>
        </is>
      </c>
      <c r="C74" s="14" t="inlineStr">
        <is>
          <t>Ad Volume</t>
        </is>
      </c>
      <c r="D74" s="14" t="inlineStr">
        <is>
          <t>Ad Volume Scale</t>
        </is>
      </c>
      <c r="E74" s="13" t="inlineStr">
        <is>
          <t>R-58</t>
        </is>
      </c>
      <c r="F74" s="14" t="inlineStr">
        <is>
          <t>High Ad Volume</t>
        </is>
      </c>
      <c r="G74" s="14" t="inlineStr">
        <is>
          <t>N/A</t>
        </is>
      </c>
      <c r="H74" s="15" t="n">
        <v>10</v>
      </c>
      <c r="I74" s="14" t="inlineStr">
        <is>
          <t>SINGLE</t>
        </is>
      </c>
      <c r="J74" s="14" t="inlineStr">
        <is>
          <t>G_AD_VOLUME</t>
        </is>
      </c>
      <c r="K74" s="14" t="inlineStr">
        <is>
          <t>Yes</t>
        </is>
      </c>
      <c r="L74" s="14" t="inlineStr">
        <is>
          <t>10+ active ads, ad volume increase, massive ad campaign creatives</t>
        </is>
      </c>
      <c r="M74" s="14" t="inlineStr">
        <is>
          <t>10+ ads, high volume</t>
        </is>
      </c>
      <c r="N74" s="15" t="n">
        <v>0</v>
      </c>
      <c r="O74" s="15" t="n">
        <v>0</v>
      </c>
      <c r="P74" s="15">
        <f>H74*(0.4*N74+0.6*O74)</f>
        <v/>
      </c>
      <c r="Q74" s="14" t="inlineStr">
        <is>
          <t>Massive advertising campaign push.</t>
        </is>
      </c>
      <c r="R74" s="14" t="inlineStr">
        <is>
          <t>Assign 10 points if Meta Ad Library show 10+ active creatives.</t>
        </is>
      </c>
    </row>
    <row r="75">
      <c r="A75" s="11" t="inlineStr">
        <is>
          <t>Execution Momentum (EM)</t>
        </is>
      </c>
      <c r="B75" s="11" t="inlineStr">
        <is>
          <t>EM</t>
        </is>
      </c>
      <c r="C75" s="12" t="inlineStr">
        <is>
          <t>Ad Volume</t>
        </is>
      </c>
      <c r="D75" s="12" t="inlineStr">
        <is>
          <t>Ad Volume Scale</t>
        </is>
      </c>
      <c r="E75" s="11" t="inlineStr">
        <is>
          <t>R-59</t>
        </is>
      </c>
      <c r="F75" s="12" t="inlineStr">
        <is>
          <t>Medium Ad Volume</t>
        </is>
      </c>
      <c r="G75" s="12" t="inlineStr">
        <is>
          <t>N/A</t>
        </is>
      </c>
      <c r="H75" s="16" t="n">
        <v>6</v>
      </c>
      <c r="I75" s="12" t="inlineStr">
        <is>
          <t>SINGLE</t>
        </is>
      </c>
      <c r="J75" s="12" t="inlineStr">
        <is>
          <t>G_AD_VOLUME</t>
        </is>
      </c>
      <c r="K75" s="12" t="inlineStr">
        <is>
          <t>Yes</t>
        </is>
      </c>
      <c r="L75" s="12" t="inlineStr">
        <is>
          <t>active ads running, 2-9 ads active, moderate ad campaign volume</t>
        </is>
      </c>
      <c r="M75" s="12" t="inlineStr">
        <is>
          <t>2-9 ads, medium volume</t>
        </is>
      </c>
      <c r="N75" s="16" t="n">
        <v>0</v>
      </c>
      <c r="O75" s="16" t="n">
        <v>0</v>
      </c>
      <c r="P75" s="16">
        <f>H75*(0.4*N75+0.6*O75)</f>
        <v/>
      </c>
      <c r="Q75" s="12" t="inlineStr">
        <is>
          <t>Moderate advertising campaign push.</t>
        </is>
      </c>
      <c r="R75" s="12" t="inlineStr">
        <is>
          <t>Assign 6 points if Meta Ad Library show 2-9 active creatives.</t>
        </is>
      </c>
    </row>
    <row r="76">
      <c r="A76" s="13" t="inlineStr">
        <is>
          <t>Execution Momentum (EM)</t>
        </is>
      </c>
      <c r="B76" s="13" t="inlineStr">
        <is>
          <t>EM</t>
        </is>
      </c>
      <c r="C76" s="14" t="inlineStr">
        <is>
          <t>Ad Volume</t>
        </is>
      </c>
      <c r="D76" s="14" t="inlineStr">
        <is>
          <t>Ad Volume Scale</t>
        </is>
      </c>
      <c r="E76" s="13" t="inlineStr">
        <is>
          <t>R-60</t>
        </is>
      </c>
      <c r="F76" s="14" t="inlineStr">
        <is>
          <t>Low Ad Volume</t>
        </is>
      </c>
      <c r="G76" s="14" t="inlineStr">
        <is>
          <t>N/A</t>
        </is>
      </c>
      <c r="H76" s="15" t="n">
        <v>2</v>
      </c>
      <c r="I76" s="14" t="inlineStr">
        <is>
          <t>SINGLE</t>
        </is>
      </c>
      <c r="J76" s="14" t="inlineStr">
        <is>
          <t>G_AD_VOLUME</t>
        </is>
      </c>
      <c r="K76" s="14" t="inlineStr">
        <is>
          <t>Yes</t>
        </is>
      </c>
      <c r="L76" s="14" t="inlineStr">
        <is>
          <t>1 single active ad, testing campaign ad, single ad creative</t>
        </is>
      </c>
      <c r="M76" s="14" t="inlineStr">
        <is>
          <t>1 ad, low volume</t>
        </is>
      </c>
      <c r="N76" s="15" t="n">
        <v>0</v>
      </c>
      <c r="O76" s="15" t="n">
        <v>0</v>
      </c>
      <c r="P76" s="15">
        <f>H76*(0.4*N76+0.6*O76)</f>
        <v/>
      </c>
      <c r="Q76" s="14" t="inlineStr">
        <is>
          <t>Testing or pilot campaign.</t>
        </is>
      </c>
      <c r="R76" s="14" t="inlineStr">
        <is>
          <t>Assign 2 points if Meta Ad Library shows 1 active creative.</t>
        </is>
      </c>
    </row>
    <row r="77">
      <c r="A77" s="11" t="inlineStr">
        <is>
          <t>Execution Momentum (EM)</t>
        </is>
      </c>
      <c r="B77" s="11" t="inlineStr">
        <is>
          <t>EM</t>
        </is>
      </c>
      <c r="C77" s="12" t="inlineStr">
        <is>
          <t>Archetype Drivers</t>
        </is>
      </c>
      <c r="D77" s="12" t="inlineStr">
        <is>
          <t>AI Investment</t>
        </is>
      </c>
      <c r="E77" s="11" t="inlineStr">
        <is>
          <t>R-61</t>
        </is>
      </c>
      <c r="F77" s="12" t="inlineStr">
        <is>
          <t>AI Leadership Hire</t>
        </is>
      </c>
      <c r="G77" s="12" t="inlineStr">
        <is>
          <t>N/A</t>
        </is>
      </c>
      <c r="H77" s="16" t="n">
        <v>10</v>
      </c>
      <c r="I77" s="12" t="inlineStr">
        <is>
          <t>MULTI</t>
        </is>
      </c>
      <c r="J77" s="12" t="inlineStr">
        <is>
          <t>G_ARCH_AI_INVEST</t>
        </is>
      </c>
      <c r="K77" s="12" t="inlineStr">
        <is>
          <t>No</t>
        </is>
      </c>
      <c r="L77" s="12" t="inlineStr">
        <is>
          <t>Sarah Chen hired, VP AI role, Head of AI Products, ex-Google DeepMind VP, ex-OpenAI engineer</t>
        </is>
      </c>
      <c r="M77" s="12" t="inlineStr">
        <is>
          <t>AI hire, VP AI</t>
        </is>
      </c>
      <c r="N77" s="16" t="n">
        <v>0</v>
      </c>
      <c r="O77" s="16" t="n">
        <v>0</v>
      </c>
      <c r="P77" s="16">
        <f>H77*(0.4*N77+0.6*O77)</f>
        <v/>
      </c>
      <c r="Q77" s="12" t="inlineStr">
        <is>
          <t>Key executive hire specializing in AI.</t>
        </is>
      </c>
      <c r="R77" s="12" t="inlineStr">
        <is>
          <t>Involved in AI Investment: adds +10 to archetype score.</t>
        </is>
      </c>
    </row>
    <row r="78">
      <c r="A78" s="13" t="inlineStr">
        <is>
          <t>Execution Momentum (EM)</t>
        </is>
      </c>
      <c r="B78" s="13" t="inlineStr">
        <is>
          <t>EM</t>
        </is>
      </c>
      <c r="C78" s="14" t="inlineStr">
        <is>
          <t>Archetype Drivers</t>
        </is>
      </c>
      <c r="D78" s="14" t="inlineStr">
        <is>
          <t>AI Investment</t>
        </is>
      </c>
      <c r="E78" s="13" t="inlineStr">
        <is>
          <t>R-62</t>
        </is>
      </c>
      <c r="F78" s="14" t="inlineStr">
        <is>
          <t>AI Hiring Spike</t>
        </is>
      </c>
      <c r="G78" s="14" t="inlineStr">
        <is>
          <t>N/A</t>
        </is>
      </c>
      <c r="H78" s="15" t="n">
        <v>8</v>
      </c>
      <c r="I78" s="14" t="inlineStr">
        <is>
          <t>MULTI</t>
        </is>
      </c>
      <c r="J78" s="14" t="inlineStr">
        <is>
          <t>G_ARCH_AI_INVEST</t>
        </is>
      </c>
      <c r="K78" s="14" t="inlineStr">
        <is>
          <t>No</t>
        </is>
      </c>
      <c r="L78" s="14" t="inlineStr">
        <is>
          <t>ML Engineering roles, hiring AI researchers, python developer hiring spike, NLP engineers wanted</t>
        </is>
      </c>
      <c r="M78" s="14" t="inlineStr">
        <is>
          <t>AI roles, ML hiring</t>
        </is>
      </c>
      <c r="N78" s="15" t="n">
        <v>0</v>
      </c>
      <c r="O78" s="15" t="n">
        <v>0</v>
      </c>
      <c r="P78" s="15">
        <f>H78*(0.4*N78+0.6*O78)</f>
        <v/>
      </c>
      <c r="Q78" s="14" t="inlineStr">
        <is>
          <t>Focused hiring in AI/ML teams.</t>
        </is>
      </c>
      <c r="R78" s="14" t="inlineStr">
        <is>
          <t>Involved in AI Investment: adds +8 to archetype score.</t>
        </is>
      </c>
    </row>
    <row r="79">
      <c r="A79" s="11" t="inlineStr">
        <is>
          <t>Execution Momentum (EM)</t>
        </is>
      </c>
      <c r="B79" s="11" t="inlineStr">
        <is>
          <t>EM</t>
        </is>
      </c>
      <c r="C79" s="12" t="inlineStr">
        <is>
          <t>Archetype Drivers</t>
        </is>
      </c>
      <c r="D79" s="12" t="inlineStr">
        <is>
          <t>AI Investment</t>
        </is>
      </c>
      <c r="E79" s="11" t="inlineStr">
        <is>
          <t>R-63</t>
        </is>
      </c>
      <c r="F79" s="12" t="inlineStr">
        <is>
          <t>AI Agent/Platform Release</t>
        </is>
      </c>
      <c r="G79" s="12" t="inlineStr">
        <is>
          <t>N/A</t>
        </is>
      </c>
      <c r="H79" s="16" t="n">
        <v>12</v>
      </c>
      <c r="I79" s="12" t="inlineStr">
        <is>
          <t>MULTI</t>
        </is>
      </c>
      <c r="J79" s="12" t="inlineStr">
        <is>
          <t>G_ARCH_AI_INVEST</t>
        </is>
      </c>
      <c r="K79" s="12" t="inlineStr">
        <is>
          <t>No</t>
        </is>
      </c>
      <c r="L79" s="12" t="inlineStr">
        <is>
          <t>AI Concierge release, autonomous booking launch, search-to-book agent, zero-touch assistant, Navan Edge app</t>
        </is>
      </c>
      <c r="M79" s="12" t="inlineStr">
        <is>
          <t>AI agent, Navan Edge</t>
        </is>
      </c>
      <c r="N79" s="16" t="n">
        <v>0</v>
      </c>
      <c r="O79" s="16" t="n">
        <v>0</v>
      </c>
      <c r="P79" s="16">
        <f>H79*(0.4*N79+0.6*O79)</f>
        <v/>
      </c>
      <c r="Q79" s="12" t="inlineStr">
        <is>
          <t>Introducing autonomous agent product.</t>
        </is>
      </c>
      <c r="R79" s="12" t="inlineStr">
        <is>
          <t>Involved in AI Investment: adds +12 to archetype score.</t>
        </is>
      </c>
    </row>
    <row r="80">
      <c r="A80" s="13" t="inlineStr">
        <is>
          <t>Execution Momentum (EM)</t>
        </is>
      </c>
      <c r="B80" s="13" t="inlineStr">
        <is>
          <t>EM</t>
        </is>
      </c>
      <c r="C80" s="14" t="inlineStr">
        <is>
          <t>Archetype Drivers</t>
        </is>
      </c>
      <c r="D80" s="14" t="inlineStr">
        <is>
          <t>Growth &amp; Expansion</t>
        </is>
      </c>
      <c r="E80" s="13" t="inlineStr">
        <is>
          <t>R-64</t>
        </is>
      </c>
      <c r="F80" s="14" t="inlineStr">
        <is>
          <t>Massive Series C/D/E Funding</t>
        </is>
      </c>
      <c r="G80" s="14" t="inlineStr">
        <is>
          <t>N/A</t>
        </is>
      </c>
      <c r="H80" s="15" t="n">
        <v>10</v>
      </c>
      <c r="I80" s="14" t="inlineStr">
        <is>
          <t>MULTI</t>
        </is>
      </c>
      <c r="J80" s="14" t="inlineStr">
        <is>
          <t>G_ARCH_GROWTH</t>
        </is>
      </c>
      <c r="K80" s="14" t="inlineStr">
        <is>
          <t>No</t>
        </is>
      </c>
      <c r="L80" s="14" t="inlineStr">
        <is>
          <t>Series D funding, Series E funding, raised $200M, Sequoia led round, Atomico led round, EQT Growth</t>
        </is>
      </c>
      <c r="M80" s="14" t="inlineStr">
        <is>
          <t>funding, Series D, Series E</t>
        </is>
      </c>
      <c r="N80" s="15" t="n">
        <v>0</v>
      </c>
      <c r="O80" s="15" t="n">
        <v>0</v>
      </c>
      <c r="P80" s="15">
        <f>H80*(0.4*N80+0.6*O80)</f>
        <v/>
      </c>
      <c r="Q80" s="14" t="inlineStr">
        <is>
          <t>Large capital round raised for scaling.</t>
        </is>
      </c>
      <c r="R80" s="14" t="inlineStr">
        <is>
          <t>Involved in Growth &amp; Expansion: adds +10 to archetype score.</t>
        </is>
      </c>
    </row>
    <row r="81">
      <c r="A81" s="11" t="inlineStr">
        <is>
          <t>Execution Momentum (EM)</t>
        </is>
      </c>
      <c r="B81" s="11" t="inlineStr">
        <is>
          <t>EM</t>
        </is>
      </c>
      <c r="C81" s="12" t="inlineStr">
        <is>
          <t>Archetype Drivers</t>
        </is>
      </c>
      <c r="D81" s="12" t="inlineStr">
        <is>
          <t>Growth &amp; Expansion</t>
        </is>
      </c>
      <c r="E81" s="11" t="inlineStr">
        <is>
          <t>R-65</t>
        </is>
      </c>
      <c r="F81" s="12" t="inlineStr">
        <is>
          <t>New Geographic Office</t>
        </is>
      </c>
      <c r="G81" s="12" t="inlineStr">
        <is>
          <t>N/A</t>
        </is>
      </c>
      <c r="H81" s="16" t="n">
        <v>8</v>
      </c>
      <c r="I81" s="12" t="inlineStr">
        <is>
          <t>MULTI</t>
        </is>
      </c>
      <c r="J81" s="12" t="inlineStr">
        <is>
          <t>G_ARCH_GROWTH</t>
        </is>
      </c>
      <c r="K81" s="12" t="inlineStr">
        <is>
          <t>No</t>
        </is>
      </c>
      <c r="L81" s="12" t="inlineStr">
        <is>
          <t>Germany office launch, France expansion branch, London headquarters, Singapore regional office</t>
        </is>
      </c>
      <c r="M81" s="12" t="inlineStr">
        <is>
          <t>office, geographic</t>
        </is>
      </c>
      <c r="N81" s="16" t="n">
        <v>0</v>
      </c>
      <c r="O81" s="16" t="n">
        <v>0</v>
      </c>
      <c r="P81" s="16">
        <f>H81*(0.4*N81+0.6*O81)</f>
        <v/>
      </c>
      <c r="Q81" s="12" t="inlineStr">
        <is>
          <t>Physical geographic expansion.</t>
        </is>
      </c>
      <c r="R81" s="12" t="inlineStr">
        <is>
          <t>Involved in Growth &amp; Expansion: adds +8 to archetype score.</t>
        </is>
      </c>
    </row>
    <row r="82">
      <c r="A82" s="13" t="inlineStr">
        <is>
          <t>Execution Momentum (EM)</t>
        </is>
      </c>
      <c r="B82" s="13" t="inlineStr">
        <is>
          <t>EM</t>
        </is>
      </c>
      <c r="C82" s="14" t="inlineStr">
        <is>
          <t>Archetype Drivers</t>
        </is>
      </c>
      <c r="D82" s="14" t="inlineStr">
        <is>
          <t>Growth &amp; Expansion</t>
        </is>
      </c>
      <c r="E82" s="13" t="inlineStr">
        <is>
          <t>R-66</t>
        </is>
      </c>
      <c r="F82" s="14" t="inlineStr">
        <is>
          <t>International Ad Campaign</t>
        </is>
      </c>
      <c r="G82" s="14" t="inlineStr">
        <is>
          <t>N/A</t>
        </is>
      </c>
      <c r="H82" s="15" t="n">
        <v>6</v>
      </c>
      <c r="I82" s="14" t="inlineStr">
        <is>
          <t>MULTI</t>
        </is>
      </c>
      <c r="J82" s="14" t="inlineStr">
        <is>
          <t>G_ARCH_GROWTH</t>
        </is>
      </c>
      <c r="K82" s="14" t="inlineStr">
        <is>
          <t>No</t>
        </is>
      </c>
      <c r="L82" s="14" t="inlineStr">
        <is>
          <t>EU active ads running, APAC campaign targeting, global remote advertising</t>
        </is>
      </c>
      <c r="M82" s="14" t="inlineStr">
        <is>
          <t>ads, international</t>
        </is>
      </c>
      <c r="N82" s="15" t="n">
        <v>0</v>
      </c>
      <c r="O82" s="15" t="n">
        <v>0</v>
      </c>
      <c r="P82" s="15">
        <f>H82*(0.4*N82+0.6*O82)</f>
        <v/>
      </c>
      <c r="Q82" s="14" t="inlineStr">
        <is>
          <t>Marketing campaigns targeting international regions.</t>
        </is>
      </c>
      <c r="R82" s="14" t="inlineStr">
        <is>
          <t>Involved in Growth &amp; Expansion: adds +6 to archetype score.</t>
        </is>
      </c>
    </row>
    <row r="83">
      <c r="A83" s="11" t="inlineStr">
        <is>
          <t>Execution Momentum (EM)</t>
        </is>
      </c>
      <c r="B83" s="11" t="inlineStr">
        <is>
          <t>EM</t>
        </is>
      </c>
      <c r="C83" s="12" t="inlineStr">
        <is>
          <t>Archetype Drivers</t>
        </is>
      </c>
      <c r="D83" s="12" t="inlineStr">
        <is>
          <t>Enterprise Push</t>
        </is>
      </c>
      <c r="E83" s="11" t="inlineStr">
        <is>
          <t>R-67</t>
        </is>
      </c>
      <c r="F83" s="12" t="inlineStr">
        <is>
          <t>Enterprise Partnership</t>
        </is>
      </c>
      <c r="G83" s="12" t="inlineStr">
        <is>
          <t>N/A</t>
        </is>
      </c>
      <c r="H83" s="16" t="n">
        <v>8</v>
      </c>
      <c r="I83" s="12" t="inlineStr">
        <is>
          <t>MULTI</t>
        </is>
      </c>
      <c r="J83" s="12" t="inlineStr">
        <is>
          <t>G_ARCH_ENT_PUSH</t>
        </is>
      </c>
      <c r="K83" s="12" t="inlineStr">
        <is>
          <t>No</t>
        </is>
      </c>
      <c r="L83" s="12" t="inlineStr">
        <is>
          <t>Stripe Treasury integration, embedded travel integration, enterprise alliance contract, Stripe partnership</t>
        </is>
      </c>
      <c r="M83" s="12" t="inlineStr">
        <is>
          <t>Stripe, partnership, enterprise</t>
        </is>
      </c>
      <c r="N83" s="16" t="n">
        <v>0</v>
      </c>
      <c r="O83" s="16" t="n">
        <v>0</v>
      </c>
      <c r="P83" s="16">
        <f>H83*(0.4*N83+0.6*O83)</f>
        <v/>
      </c>
      <c r="Q83" s="12" t="inlineStr">
        <is>
          <t>Strategic enterprise integrations.</t>
        </is>
      </c>
      <c r="R83" s="12" t="inlineStr">
        <is>
          <t>Involved in Enterprise Push: adds +8 to archetype score.</t>
        </is>
      </c>
    </row>
    <row r="84">
      <c r="A84" s="13" t="inlineStr">
        <is>
          <t>Execution Momentum (EM)</t>
        </is>
      </c>
      <c r="B84" s="13" t="inlineStr">
        <is>
          <t>EM</t>
        </is>
      </c>
      <c r="C84" s="14" t="inlineStr">
        <is>
          <t>Archetype Drivers</t>
        </is>
      </c>
      <c r="D84" s="14" t="inlineStr">
        <is>
          <t>Enterprise Push</t>
        </is>
      </c>
      <c r="E84" s="13" t="inlineStr">
        <is>
          <t>R-68</t>
        </is>
      </c>
      <c r="F84" s="14" t="inlineStr">
        <is>
          <t>Enterprise Feature Release</t>
        </is>
      </c>
      <c r="G84" s="14" t="inlineStr">
        <is>
          <t>N/A</t>
        </is>
      </c>
      <c r="H84" s="15" t="n">
        <v>10</v>
      </c>
      <c r="I84" s="14" t="inlineStr">
        <is>
          <t>MULTI</t>
        </is>
      </c>
      <c r="J84" s="14" t="inlineStr">
        <is>
          <t>G_ARCH_ENT_PUSH</t>
        </is>
      </c>
      <c r="K84" s="14" t="inlineStr">
        <is>
          <t>No</t>
        </is>
      </c>
      <c r="L84" s="14" t="inlineStr">
        <is>
          <t>Spend Controls 2.0 launch, real-time expense blocking, CFO budget protection tools</t>
        </is>
      </c>
      <c r="M84" s="14" t="inlineStr">
        <is>
          <t>CFO controls, expense feature</t>
        </is>
      </c>
      <c r="N84" s="15" t="n">
        <v>0</v>
      </c>
      <c r="O84" s="15" t="n">
        <v>0</v>
      </c>
      <c r="P84" s="15">
        <f>H84*(0.4*N84+0.6*O84)</f>
        <v/>
      </c>
      <c r="Q84" s="14" t="inlineStr">
        <is>
          <t>Releasing CFO or expense control tools.</t>
        </is>
      </c>
      <c r="R84" s="14" t="inlineStr">
        <is>
          <t>Involved in Enterprise Push: adds +10 to archetype score.</t>
        </is>
      </c>
    </row>
    <row r="85">
      <c r="A85" s="11" t="inlineStr">
        <is>
          <t>Execution Momentum (EM)</t>
        </is>
      </c>
      <c r="B85" s="11" t="inlineStr">
        <is>
          <t>EM</t>
        </is>
      </c>
      <c r="C85" s="12" t="inlineStr">
        <is>
          <t>Archetype Drivers</t>
        </is>
      </c>
      <c r="D85" s="12" t="inlineStr">
        <is>
          <t>Enterprise Push</t>
        </is>
      </c>
      <c r="E85" s="11" t="inlineStr">
        <is>
          <t>R-69</t>
        </is>
      </c>
      <c r="F85" s="12" t="inlineStr">
        <is>
          <t>Head of Enterprise Sales Hire</t>
        </is>
      </c>
      <c r="G85" s="12" t="inlineStr">
        <is>
          <t>N/A</t>
        </is>
      </c>
      <c r="H85" s="16" t="n">
        <v>6</v>
      </c>
      <c r="I85" s="12" t="inlineStr">
        <is>
          <t>MULTI</t>
        </is>
      </c>
      <c r="J85" s="12" t="inlineStr">
        <is>
          <t>G_ARCH_ENT_PUSH</t>
        </is>
      </c>
      <c r="K85" s="12" t="inlineStr">
        <is>
          <t>No</t>
        </is>
      </c>
      <c r="L85" s="12" t="inlineStr">
        <is>
          <t>hiring sales executives, US sales director appointed, enterprise account director</t>
        </is>
      </c>
      <c r="M85" s="12" t="inlineStr">
        <is>
          <t>sales director, hire</t>
        </is>
      </c>
      <c r="N85" s="16" t="n">
        <v>0</v>
      </c>
      <c r="O85" s="16" t="n">
        <v>0</v>
      </c>
      <c r="P85" s="16">
        <f>H85*(0.4*N85+0.6*O85)</f>
        <v/>
      </c>
      <c r="Q85" s="12" t="inlineStr">
        <is>
          <t>Hiring enterprise-focused sales leadership.</t>
        </is>
      </c>
      <c r="R85" s="12" t="inlineStr">
        <is>
          <t>Involved in Enterprise Push: adds +6 to archetype score.</t>
        </is>
      </c>
    </row>
    <row r="86">
      <c r="A86" s="13" t="inlineStr">
        <is>
          <t>Execution Momentum (EM)</t>
        </is>
      </c>
      <c r="B86" s="13" t="inlineStr">
        <is>
          <t>EM</t>
        </is>
      </c>
      <c r="C86" s="14" t="inlineStr">
        <is>
          <t>Archetype Drivers</t>
        </is>
      </c>
      <c r="D86" s="14" t="inlineStr">
        <is>
          <t>Competitive Response</t>
        </is>
      </c>
      <c r="E86" s="13" t="inlineStr">
        <is>
          <t>R-70</t>
        </is>
      </c>
      <c r="F86" s="14" t="inlineStr">
        <is>
          <t>Feature Matching</t>
        </is>
      </c>
      <c r="G86" s="14" t="inlineStr">
        <is>
          <t>N/A</t>
        </is>
      </c>
      <c r="H86" s="15" t="n">
        <v>8</v>
      </c>
      <c r="I86" s="14" t="inlineStr">
        <is>
          <t>MULTI</t>
        </is>
      </c>
      <c r="J86" s="14" t="inlineStr">
        <is>
          <t>G_ARCH_COMP_RESP</t>
        </is>
      </c>
      <c r="K86" s="14" t="inlineStr">
        <is>
          <t>No</t>
        </is>
      </c>
      <c r="L86" s="14" t="inlineStr">
        <is>
          <t>matches feature rollout, clone tool launched, similar product release, competitive response release</t>
        </is>
      </c>
      <c r="M86" s="14" t="inlineStr">
        <is>
          <t>matching, response, clone</t>
        </is>
      </c>
      <c r="N86" s="15" t="n">
        <v>0</v>
      </c>
      <c r="O86" s="15" t="n">
        <v>0</v>
      </c>
      <c r="P86" s="15">
        <f>H86*(0.4*N86+0.6*O86)</f>
        <v/>
      </c>
      <c r="Q86" s="14" t="inlineStr">
        <is>
          <t>Competitor matching another's recent feature.</t>
        </is>
      </c>
      <c r="R86" s="14" t="inlineStr">
        <is>
          <t>Involved in Competitive Response: adds +8 to archetype score.</t>
        </is>
      </c>
    </row>
    <row r="87">
      <c r="A87" s="11" t="inlineStr">
        <is>
          <t>Execution Momentum (EM)</t>
        </is>
      </c>
      <c r="B87" s="11" t="inlineStr">
        <is>
          <t>EM</t>
        </is>
      </c>
      <c r="C87" s="12" t="inlineStr">
        <is>
          <t>Archetype Drivers</t>
        </is>
      </c>
      <c r="D87" s="12" t="inlineStr">
        <is>
          <t>Competitive Response</t>
        </is>
      </c>
      <c r="E87" s="11" t="inlineStr">
        <is>
          <t>R-71</t>
        </is>
      </c>
      <c r="F87" s="12" t="inlineStr">
        <is>
          <t>Positioning Copying</t>
        </is>
      </c>
      <c r="G87" s="12" t="inlineStr">
        <is>
          <t>N/A</t>
        </is>
      </c>
      <c r="H87" s="16" t="n">
        <v>8</v>
      </c>
      <c r="I87" s="12" t="inlineStr">
        <is>
          <t>MULTI</t>
        </is>
      </c>
      <c r="J87" s="12" t="inlineStr">
        <is>
          <t>G_ARCH_COMP_RESP</t>
        </is>
      </c>
      <c r="K87" s="12" t="inlineStr">
        <is>
          <t>No</t>
        </is>
      </c>
      <c r="L87" s="12" t="inlineStr">
        <is>
          <t>similar campaign themes, copied marketing positioning, matching branding message</t>
        </is>
      </c>
      <c r="M87" s="12" t="inlineStr">
        <is>
          <t>positioning, cloned copy</t>
        </is>
      </c>
      <c r="N87" s="16" t="n">
        <v>0</v>
      </c>
      <c r="O87" s="16" t="n">
        <v>0</v>
      </c>
      <c r="P87" s="16">
        <f>H87*(0.4*N87+0.6*O87)</f>
        <v/>
      </c>
      <c r="Q87" s="12" t="inlineStr">
        <is>
          <t>Competitor copying marketing positioning.</t>
        </is>
      </c>
      <c r="R87" s="12" t="inlineStr">
        <is>
          <t>Involved in Competitive Response: adds +8 to archetype score.</t>
        </is>
      </c>
    </row>
    <row r="88">
      <c r="A88" s="13" t="inlineStr">
        <is>
          <t>Execution Momentum (EM)</t>
        </is>
      </c>
      <c r="B88" s="13" t="inlineStr">
        <is>
          <t>EM</t>
        </is>
      </c>
      <c r="C88" s="14" t="inlineStr">
        <is>
          <t>Archetype Drivers</t>
        </is>
      </c>
      <c r="D88" s="14" t="inlineStr">
        <is>
          <t>Competitive Response</t>
        </is>
      </c>
      <c r="E88" s="13" t="inlineStr">
        <is>
          <t>R-72</t>
        </is>
      </c>
      <c r="F88" s="14" t="inlineStr">
        <is>
          <t>Price Matching / Discounting</t>
        </is>
      </c>
      <c r="G88" s="14" t="inlineStr">
        <is>
          <t>N/A</t>
        </is>
      </c>
      <c r="H88" s="15" t="n">
        <v>6</v>
      </c>
      <c r="I88" s="14" t="inlineStr">
        <is>
          <t>MULTI</t>
        </is>
      </c>
      <c r="J88" s="14" t="inlineStr">
        <is>
          <t>G_ARCH_COMP_RESP</t>
        </is>
      </c>
      <c r="K88" s="14" t="inlineStr">
        <is>
          <t>No</t>
        </is>
      </c>
      <c r="L88" s="14" t="inlineStr">
        <is>
          <t>price matching program, promo packages discount, matching pricing adjustments, discount pricing offer</t>
        </is>
      </c>
      <c r="M88" s="14" t="inlineStr">
        <is>
          <t>price matching, discounts</t>
        </is>
      </c>
      <c r="N88" s="15" t="n">
        <v>0</v>
      </c>
      <c r="O88" s="15" t="n">
        <v>0</v>
      </c>
      <c r="P88" s="15">
        <f>H88*(0.4*N88+0.6*O88)</f>
        <v/>
      </c>
      <c r="Q88" s="14" t="inlineStr">
        <is>
          <t>Offering matching discounts or matching pricing hikes.</t>
        </is>
      </c>
      <c r="R88" s="14" t="inlineStr">
        <is>
          <t>Involved in Competitive Response: adds +6 to archetype score.</t>
        </is>
      </c>
    </row>
    <row r="89">
      <c r="A89" s="11" t="inlineStr">
        <is>
          <t>Execution Momentum (EM)</t>
        </is>
      </c>
      <c r="B89" s="11" t="inlineStr">
        <is>
          <t>EM</t>
        </is>
      </c>
      <c r="C89" s="12" t="inlineStr">
        <is>
          <t>Archetype Drivers</t>
        </is>
      </c>
      <c r="D89" s="12" t="inlineStr">
        <is>
          <t>Platform Consolidation</t>
        </is>
      </c>
      <c r="E89" s="11" t="inlineStr">
        <is>
          <t>R-73</t>
        </is>
      </c>
      <c r="F89" s="12" t="inlineStr">
        <is>
          <t>Competitor Acquisition</t>
        </is>
      </c>
      <c r="G89" s="12" t="inlineStr">
        <is>
          <t>N/A</t>
        </is>
      </c>
      <c r="H89" s="16" t="n">
        <v>12</v>
      </c>
      <c r="I89" s="12" t="inlineStr">
        <is>
          <t>MULTI</t>
        </is>
      </c>
      <c r="J89" s="12" t="inlineStr">
        <is>
          <t>G_ARCH_PLAT_CONSOL</t>
        </is>
      </c>
      <c r="K89" s="12" t="inlineStr">
        <is>
          <t>No</t>
        </is>
      </c>
      <c r="L89" s="12" t="inlineStr">
        <is>
          <t>Egencia portfolio acquisition, completed corporate acquisition, acquired competitor corporate, acquired CWT, acquired AmTrav, Brazil Smartrips acquisition</t>
        </is>
      </c>
      <c r="M89" s="12" t="inlineStr">
        <is>
          <t>acquires, acquisition, Egencia, Smartrips</t>
        </is>
      </c>
      <c r="N89" s="16" t="n">
        <v>0</v>
      </c>
      <c r="O89" s="16" t="n">
        <v>0</v>
      </c>
      <c r="P89" s="16">
        <f>H89*(0.4*N89+0.6*O89)</f>
        <v/>
      </c>
      <c r="Q89" s="12" t="inlineStr">
        <is>
          <t>Acquiring another competitor platform.</t>
        </is>
      </c>
      <c r="R89" s="12" t="inlineStr">
        <is>
          <t>Involved in Platform Consolidation: adds +12 to archetype score.</t>
        </is>
      </c>
    </row>
    <row r="90">
      <c r="A90" s="13" t="inlineStr">
        <is>
          <t>Execution Momentum (EM)</t>
        </is>
      </c>
      <c r="B90" s="13" t="inlineStr">
        <is>
          <t>EM</t>
        </is>
      </c>
      <c r="C90" s="14" t="inlineStr">
        <is>
          <t>Archetype Drivers</t>
        </is>
      </c>
      <c r="D90" s="14" t="inlineStr">
        <is>
          <t>Platform Consolidation</t>
        </is>
      </c>
      <c r="E90" s="13" t="inlineStr">
        <is>
          <t>R-74</t>
        </is>
      </c>
      <c r="F90" s="14" t="inlineStr">
        <is>
          <t>Product Integration</t>
        </is>
      </c>
      <c r="G90" s="14" t="inlineStr">
        <is>
          <t>N/A</t>
        </is>
      </c>
      <c r="H90" s="15" t="n">
        <v>8</v>
      </c>
      <c r="I90" s="14" t="inlineStr">
        <is>
          <t>MULTI</t>
        </is>
      </c>
      <c r="J90" s="14" t="inlineStr">
        <is>
          <t>G_ARCH_PLAT_CONSOL</t>
        </is>
      </c>
      <c r="K90" s="14" t="inlineStr">
        <is>
          <t>No</t>
        </is>
      </c>
      <c r="L90" s="14" t="inlineStr">
        <is>
          <t>database integration unified, unified travel platform project, backend database sync</t>
        </is>
      </c>
      <c r="M90" s="14" t="inlineStr">
        <is>
          <t>integration, unified, database</t>
        </is>
      </c>
      <c r="N90" s="15" t="n">
        <v>0</v>
      </c>
      <c r="O90" s="15" t="n">
        <v>0</v>
      </c>
      <c r="P90" s="15">
        <f>H90*(0.4*N90+0.6*O90)</f>
        <v/>
      </c>
      <c r="Q90" s="14" t="inlineStr">
        <is>
          <t>Integrating acquired database with core engine.</t>
        </is>
      </c>
      <c r="R90" s="14" t="inlineStr">
        <is>
          <t>Involved in Platform Consolidation: adds +8 to archetype score.</t>
        </is>
      </c>
    </row>
    <row r="91">
      <c r="A91" s="11" t="inlineStr">
        <is>
          <t>Execution Momentum (EM)</t>
        </is>
      </c>
      <c r="B91" s="11" t="inlineStr">
        <is>
          <t>EM</t>
        </is>
      </c>
      <c r="C91" s="12" t="inlineStr">
        <is>
          <t>Archetype Drivers</t>
        </is>
      </c>
      <c r="D91" s="12" t="inlineStr">
        <is>
          <t>Platform Consolidation</t>
        </is>
      </c>
      <c r="E91" s="11" t="inlineStr">
        <is>
          <t>R-75</t>
        </is>
      </c>
      <c r="F91" s="12" t="inlineStr">
        <is>
          <t>Unified Platform Rebrand</t>
        </is>
      </c>
      <c r="G91" s="12" t="inlineStr">
        <is>
          <t>N/A</t>
        </is>
      </c>
      <c r="H91" s="16" t="n">
        <v>8</v>
      </c>
      <c r="I91" s="12" t="inlineStr">
        <is>
          <t>MULTI</t>
        </is>
      </c>
      <c r="J91" s="12" t="inlineStr">
        <is>
          <t>G_ARCH_PLAT_CONSOL</t>
        </is>
      </c>
      <c r="K91" s="12" t="inlineStr">
        <is>
          <t>No</t>
        </is>
      </c>
      <c r="L91" s="12" t="inlineStr">
        <is>
          <t>unified platform launch branding, brand rebrand consolidation, consolidated travel suite</t>
        </is>
      </c>
      <c r="M91" s="12" t="inlineStr">
        <is>
          <t>rebrand, unified, brand</t>
        </is>
      </c>
      <c r="N91" s="16" t="n">
        <v>0</v>
      </c>
      <c r="O91" s="16" t="n">
        <v>0</v>
      </c>
      <c r="P91" s="16">
        <f>H91*(0.4*N91+0.6*O91)</f>
        <v/>
      </c>
      <c r="Q91" s="12" t="inlineStr">
        <is>
          <t>Rebranding separate tools under a single suite.</t>
        </is>
      </c>
      <c r="R91" s="12" t="inlineStr">
        <is>
          <t>Involved in Platform Consolidation: adds +8 to archetype score.</t>
        </is>
      </c>
    </row>
    <row r="92">
      <c r="A92" s="13" t="inlineStr">
        <is>
          <t>Strategic Intent (SI)</t>
        </is>
      </c>
      <c r="B92" s="13" t="inlineStr">
        <is>
          <t>SI</t>
        </is>
      </c>
      <c r="C92" s="14" t="inlineStr">
        <is>
          <t>Event Priority</t>
        </is>
      </c>
      <c r="D92" s="14" t="inlineStr">
        <is>
          <t>Product &amp; Tech Events</t>
        </is>
      </c>
      <c r="E92" s="13" t="inlineStr">
        <is>
          <t>R-76</t>
        </is>
      </c>
      <c r="F92" s="14" t="inlineStr">
        <is>
          <t>Open-Source Tool Release</t>
        </is>
      </c>
      <c r="G92" s="14" t="inlineStr">
        <is>
          <t>N/A</t>
        </is>
      </c>
      <c r="H92" s="15" t="n">
        <v>8</v>
      </c>
      <c r="I92" s="14" t="inlineStr">
        <is>
          <t>SINGLE</t>
        </is>
      </c>
      <c r="J92" s="14" t="inlineStr">
        <is>
          <t>G_EVENT_PRIORITY</t>
        </is>
      </c>
      <c r="K92" s="14" t="inlineStr">
        <is>
          <t>Yes</t>
        </is>
      </c>
      <c r="L92" s="14" t="inlineStr">
        <is>
          <t>open-source SDK release, open-source model repository, GitHub code release, public codebase repository, MIT license release</t>
        </is>
      </c>
      <c r="M92" s="14" t="inlineStr">
        <is>
          <t>open-source, SDK, GitHub, repository</t>
        </is>
      </c>
      <c r="N92" s="15" t="n">
        <v>0</v>
      </c>
      <c r="O92" s="15" t="n">
        <v>0</v>
      </c>
      <c r="P92" s="15">
        <f>H92*(0.4*N92+0.6*O92)</f>
        <v/>
      </c>
      <c r="Q92" s="14" t="inlineStr">
        <is>
          <t>Releasing developer-facing open-source tooling.</t>
        </is>
      </c>
      <c r="R92" s="14" t="inlineStr">
        <is>
          <t>Assign 8 points if competitor releases an open-source SDK or repo.</t>
        </is>
      </c>
    </row>
    <row r="93">
      <c r="A93" s="11" t="inlineStr">
        <is>
          <t>Execution Momentum (EM)</t>
        </is>
      </c>
      <c r="B93" s="11" t="inlineStr">
        <is>
          <t>EM</t>
        </is>
      </c>
      <c r="C93" s="12" t="inlineStr">
        <is>
          <t>Source &amp; Evidence</t>
        </is>
      </c>
      <c r="D93" s="12" t="inlineStr">
        <is>
          <t>HR &amp; Org Events</t>
        </is>
      </c>
      <c r="E93" s="11" t="inlineStr">
        <is>
          <t>R-77</t>
        </is>
      </c>
      <c r="F93" s="12" t="inlineStr">
        <is>
          <t>Developer Advocate Hires</t>
        </is>
      </c>
      <c r="G93" s="12" t="inlineStr">
        <is>
          <t>N/A</t>
        </is>
      </c>
      <c r="H93" s="16" t="n">
        <v>6</v>
      </c>
      <c r="I93" s="12" t="inlineStr">
        <is>
          <t>SINGLE</t>
        </is>
      </c>
      <c r="J93" s="12" t="inlineStr">
        <is>
          <t>G_EVENT_PRIORITY</t>
        </is>
      </c>
      <c r="K93" s="12" t="inlineStr">
        <is>
          <t>Yes</t>
        </is>
      </c>
      <c r="L93" s="12" t="inlineStr">
        <is>
          <t>developer relations recruitment, devrel hires, developer advocate appointment, API community building, hiring devrel managers</t>
        </is>
      </c>
      <c r="M93" s="12" t="inlineStr">
        <is>
          <t>Relations, DevRel, advocate</t>
        </is>
      </c>
      <c r="N93" s="16" t="n">
        <v>0</v>
      </c>
      <c r="O93" s="16" t="n">
        <v>0</v>
      </c>
      <c r="P93" s="16">
        <f>H93*(0.4*N93+0.6*O93)</f>
        <v/>
      </c>
      <c r="Q93" s="12" t="inlineStr">
        <is>
          <t>Hiring developer relations leads to drive API adoption.</t>
        </is>
      </c>
      <c r="R93" s="12" t="inlineStr">
        <is>
          <t>Assign 6 points if competitor recruits developer relations managers.</t>
        </is>
      </c>
    </row>
    <row r="94">
      <c r="A94" s="13" t="inlineStr">
        <is>
          <t>Strategic Intent (SI)</t>
        </is>
      </c>
      <c r="B94" s="13" t="inlineStr">
        <is>
          <t>SI</t>
        </is>
      </c>
      <c r="C94" s="14" t="inlineStr">
        <is>
          <t>Strategic Context</t>
        </is>
      </c>
      <c r="D94" s="14" t="inlineStr">
        <is>
          <t>AI &amp; Agentic Depth</t>
        </is>
      </c>
      <c r="E94" s="13" t="inlineStr">
        <is>
          <t>R-78</t>
        </is>
      </c>
      <c r="F94" s="14" t="inlineStr">
        <is>
          <t>AI Safety &amp; Compliance Filings</t>
        </is>
      </c>
      <c r="G94" s="14" t="inlineStr">
        <is>
          <t>N/A</t>
        </is>
      </c>
      <c r="H94" s="15" t="n">
        <v>5</v>
      </c>
      <c r="I94" s="14" t="inlineStr">
        <is>
          <t>SINGLE</t>
        </is>
      </c>
      <c r="J94" s="14" t="inlineStr">
        <is>
          <t>G_AI_DEPTH</t>
        </is>
      </c>
      <c r="K94" s="14" t="inlineStr">
        <is>
          <t>Yes</t>
        </is>
      </c>
      <c r="L94" s="14" t="inlineStr">
        <is>
          <t>red-teaming evaluation, safety audit compliance, AI safety filings, model alignment audit, safety guidelines framework</t>
        </is>
      </c>
      <c r="M94" s="14" t="inlineStr">
        <is>
          <t>safety, audit, compliance, alignment</t>
        </is>
      </c>
      <c r="N94" s="15" t="n">
        <v>0</v>
      </c>
      <c r="O94" s="15" t="n">
        <v>0</v>
      </c>
      <c r="P94" s="15">
        <f>H94*(0.4*N94+0.6*O94)</f>
        <v/>
      </c>
      <c r="Q94" s="14" t="inlineStr">
        <is>
          <t>Disclosing red-teaming audits or regulatory safety frameworks.</t>
        </is>
      </c>
      <c r="R94" s="14" t="inlineStr">
        <is>
          <t>Assign 5 points if filings or statements focus on AI safety compliance.</t>
        </is>
      </c>
    </row>
    <row r="95">
      <c r="A95" s="11" t="inlineStr">
        <is>
          <t>Strategic Intent (SI)</t>
        </is>
      </c>
      <c r="B95" s="11" t="inlineStr">
        <is>
          <t>SI</t>
        </is>
      </c>
      <c r="C95" s="12" t="inlineStr">
        <is>
          <t>Strategic Context</t>
        </is>
      </c>
      <c r="D95" s="12" t="inlineStr">
        <is>
          <t>Narrative Stance</t>
        </is>
      </c>
      <c r="E95" s="11" t="inlineStr">
        <is>
          <t>R-79</t>
        </is>
      </c>
      <c r="F95" s="12" t="inlineStr">
        <is>
          <t>Sustainability Travel Narrative</t>
        </is>
      </c>
      <c r="G95" s="12" t="inlineStr">
        <is>
          <t>N/A</t>
        </is>
      </c>
      <c r="H95" s="16" t="n">
        <v>5</v>
      </c>
      <c r="I95" s="12" t="inlineStr">
        <is>
          <t>SINGLE</t>
        </is>
      </c>
      <c r="J95" s="12" t="inlineStr">
        <is>
          <t>G_NARRATIVE</t>
        </is>
      </c>
      <c r="K95" s="12" t="inlineStr">
        <is>
          <t>Yes</t>
        </is>
      </c>
      <c r="L95" s="12" t="inlineStr">
        <is>
          <t>carbon footprint tracking, sustainability travel reports, green travel budgets, carbon offset booking, eco-friendly travel options</t>
        </is>
      </c>
      <c r="M95" s="12" t="inlineStr">
        <is>
          <t>carbon, sustainability, green, eco-friendly</t>
        </is>
      </c>
      <c r="N95" s="16" t="n">
        <v>0</v>
      </c>
      <c r="O95" s="16" t="n">
        <v>0</v>
      </c>
      <c r="P95" s="16">
        <f>H95*(0.4*N95+0.6*O95)</f>
        <v/>
      </c>
      <c r="Q95" s="12" t="inlineStr">
        <is>
          <t>Positioning around green travel budgets and carbon offsets.</t>
        </is>
      </c>
      <c r="R95" s="12" t="inlineStr">
        <is>
          <t>Assign 5 points if narrative highlights sustainability metrics.</t>
        </is>
      </c>
    </row>
    <row r="96">
      <c r="A96" s="13" t="inlineStr">
        <is>
          <t>Strategic Intent (SI)</t>
        </is>
      </c>
      <c r="B96" s="13" t="inlineStr">
        <is>
          <t>SI</t>
        </is>
      </c>
      <c r="C96" s="14" t="inlineStr">
        <is>
          <t>Event Priority</t>
        </is>
      </c>
      <c r="D96" s="14" t="inlineStr">
        <is>
          <t>Financial Events</t>
        </is>
      </c>
      <c r="E96" s="13" t="inlineStr">
        <is>
          <t>R-80</t>
        </is>
      </c>
      <c r="F96" s="14" t="inlineStr">
        <is>
          <t>Legal &amp; Regulatory Audits</t>
        </is>
      </c>
      <c r="G96" s="14" t="inlineStr">
        <is>
          <t>N/A</t>
        </is>
      </c>
      <c r="H96" s="15" t="n">
        <v>8</v>
      </c>
      <c r="I96" s="14" t="inlineStr">
        <is>
          <t>SINGLE</t>
        </is>
      </c>
      <c r="J96" s="14" t="inlineStr">
        <is>
          <t>G_EVENT_PRIORITY</t>
        </is>
      </c>
      <c r="K96" s="14" t="inlineStr">
        <is>
          <t>Yes</t>
        </is>
      </c>
      <c r="L96" s="14" t="inlineStr">
        <is>
          <t>antitrust investigation probe, travel license dispute, regulatory audit penalty, compliance lawsuit, antitrust compliance breach</t>
        </is>
      </c>
      <c r="M96" s="14" t="inlineStr">
        <is>
          <t>antitrust, lawsuit, audit, legal</t>
        </is>
      </c>
      <c r="N96" s="15" t="n">
        <v>0</v>
      </c>
      <c r="O96" s="15" t="n">
        <v>0</v>
      </c>
      <c r="P96" s="15">
        <f>H96*(0.4*N96+0.6*O96)</f>
        <v/>
      </c>
      <c r="Q96" s="14" t="inlineStr">
        <is>
          <t>Competitor audited by travel boards or facing anti-trust actions.</t>
        </is>
      </c>
      <c r="R96" s="14" t="inlineStr">
        <is>
          <t>Assign 8 points if competitor faces regulatory legal investigation.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2026-06-22T06:48:49Z</dcterms:created>
  <dcterms:modified xmlns:dcterms="http://purl.org/dc/terms/" xmlns:xsi="http://www.w3.org/2001/XMLSchema-instance" xsi:type="dcterms:W3CDTF">2026-06-22T06:48:50Z</dcterms:modified>
</cp:coreProperties>
</file>